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drawings/drawing2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11760" windowHeight="5430" activeTab="3"/>
  </bookViews>
  <sheets>
    <sheet name="Tablero Compra" sheetId="6" r:id="rId1"/>
    <sheet name="Molienda" sheetId="2" r:id="rId2"/>
    <sheet name="Fazon" sheetId="7" r:id="rId3"/>
    <sheet name="Instructivo" sheetId="5" r:id="rId4"/>
    <sheet name="Flete y Mermas" sheetId="3" state="hidden" r:id="rId5"/>
    <sheet name="Coberturas" sheetId="4" state="hidden" r:id="rId6"/>
  </sheets>
  <calcPr calcId="152511"/>
  <fileRecoveryPr repairLoad="1"/>
</workbook>
</file>

<file path=xl/calcChain.xml><?xml version="1.0" encoding="utf-8"?>
<calcChain xmlns="http://schemas.openxmlformats.org/spreadsheetml/2006/main">
  <c r="O88" i="2" l="1"/>
  <c r="P78" i="2" l="1"/>
  <c r="P77" i="2"/>
  <c r="P75" i="2"/>
  <c r="P74" i="2"/>
  <c r="E24" i="6" l="1"/>
  <c r="E14" i="6"/>
  <c r="E15" i="6"/>
  <c r="G27" i="2"/>
  <c r="G26" i="2"/>
  <c r="E23" i="6"/>
  <c r="E20" i="6"/>
  <c r="E11" i="6"/>
  <c r="E9" i="6"/>
  <c r="G14" i="6" l="1"/>
  <c r="G15" i="6"/>
  <c r="O69" i="2"/>
  <c r="L30" i="2"/>
  <c r="K37" i="2"/>
  <c r="O68" i="2"/>
  <c r="P68" i="2"/>
  <c r="O65" i="2"/>
  <c r="G30" i="2"/>
  <c r="G29" i="2"/>
  <c r="G24" i="6" l="1"/>
  <c r="P65" i="2"/>
  <c r="G23" i="6"/>
  <c r="E34" i="2"/>
  <c r="P64" i="2" s="1"/>
  <c r="E33" i="2"/>
  <c r="P63" i="2" s="1"/>
  <c r="E32" i="2"/>
  <c r="P62" i="2" s="1"/>
  <c r="O82" i="2" l="1"/>
  <c r="H88" i="2" l="1"/>
  <c r="H61" i="2" l="1"/>
  <c r="O62" i="2" s="1"/>
  <c r="L24" i="2"/>
  <c r="O72" i="2" s="1"/>
  <c r="X13" i="2"/>
  <c r="T13" i="2" s="1"/>
  <c r="P38" i="2"/>
  <c r="P37" i="2"/>
  <c r="K38" i="2"/>
  <c r="L15" i="2"/>
  <c r="L17" i="2" s="1"/>
  <c r="L10" i="2"/>
  <c r="H79" i="2"/>
  <c r="M79" i="2" l="1"/>
  <c r="E79" i="2"/>
  <c r="J79" i="2" s="1"/>
  <c r="L12" i="2"/>
  <c r="H86" i="2"/>
  <c r="M86" i="2" s="1"/>
  <c r="E37" i="2"/>
  <c r="G79" i="2" s="1"/>
  <c r="L79" i="2" s="1"/>
  <c r="P69" i="2"/>
  <c r="H69" i="2" s="1"/>
  <c r="H68" i="2"/>
  <c r="H65" i="2"/>
  <c r="H81" i="2"/>
  <c r="E24" i="2"/>
  <c r="O74" i="2"/>
  <c r="O75" i="2" s="1"/>
  <c r="H75" i="2" s="1"/>
  <c r="H72" i="2"/>
  <c r="E72" i="2" s="1"/>
  <c r="J72" i="2" s="1"/>
  <c r="L25" i="2"/>
  <c r="O73" i="2" s="1"/>
  <c r="H83" i="2"/>
  <c r="E83" i="2" s="1"/>
  <c r="J83" i="2" s="1"/>
  <c r="H84" i="2"/>
  <c r="E84" i="2" s="1"/>
  <c r="J84" i="2" s="1"/>
  <c r="H85" i="2"/>
  <c r="H87" i="2"/>
  <c r="E87" i="2" s="1"/>
  <c r="J87" i="2" s="1"/>
  <c r="H80" i="2"/>
  <c r="H77" i="2"/>
  <c r="H78" i="2"/>
  <c r="M61" i="2"/>
  <c r="M88" i="2"/>
  <c r="G17" i="2"/>
  <c r="G12" i="2"/>
  <c r="G22" i="7" s="1"/>
  <c r="G10" i="2"/>
  <c r="G23" i="7" s="1"/>
  <c r="G14" i="2"/>
  <c r="E88" i="2"/>
  <c r="J88" i="2" s="1"/>
  <c r="E61" i="2"/>
  <c r="J61" i="2" s="1"/>
  <c r="F79" i="2" l="1"/>
  <c r="K79" i="2" s="1"/>
  <c r="M66" i="2"/>
  <c r="H66" i="2" s="1"/>
  <c r="C13" i="7"/>
  <c r="C14" i="7" s="1"/>
  <c r="G11" i="6"/>
  <c r="G9" i="6"/>
  <c r="M67" i="2"/>
  <c r="H67" i="2" s="1"/>
  <c r="G67" i="2" s="1"/>
  <c r="L67" i="2" s="1"/>
  <c r="H58" i="2"/>
  <c r="E86" i="2"/>
  <c r="J86" i="2" s="1"/>
  <c r="G66" i="2"/>
  <c r="L66" i="2" s="1"/>
  <c r="F66" i="2"/>
  <c r="K66" i="2" s="1"/>
  <c r="E66" i="2"/>
  <c r="J66" i="2" s="1"/>
  <c r="F49" i="2"/>
  <c r="G20" i="6"/>
  <c r="G86" i="2"/>
  <c r="L86" i="2" s="1"/>
  <c r="F86" i="2"/>
  <c r="K86" i="2" s="1"/>
  <c r="M68" i="2"/>
  <c r="G68" i="2"/>
  <c r="L68" i="2" s="1"/>
  <c r="E68" i="2"/>
  <c r="J68" i="2" s="1"/>
  <c r="F68" i="2"/>
  <c r="K68" i="2" s="1"/>
  <c r="E65" i="2"/>
  <c r="J65" i="2" s="1"/>
  <c r="F65" i="2"/>
  <c r="K65" i="2" s="1"/>
  <c r="G65" i="2"/>
  <c r="L65" i="2" s="1"/>
  <c r="M65" i="2"/>
  <c r="M69" i="2"/>
  <c r="G69" i="2"/>
  <c r="L69" i="2" s="1"/>
  <c r="F69" i="2"/>
  <c r="K69" i="2" s="1"/>
  <c r="E69" i="2"/>
  <c r="J69" i="2" s="1"/>
  <c r="H74" i="2"/>
  <c r="E74" i="2" s="1"/>
  <c r="J74" i="2" s="1"/>
  <c r="H73" i="2"/>
  <c r="E73" i="2" s="1"/>
  <c r="J73" i="2" s="1"/>
  <c r="L26" i="2"/>
  <c r="H82" i="2" s="1"/>
  <c r="M83" i="2"/>
  <c r="M87" i="2"/>
  <c r="M84" i="2"/>
  <c r="M81" i="2"/>
  <c r="M72" i="2"/>
  <c r="M75" i="2"/>
  <c r="F75" i="2"/>
  <c r="K75" i="2" s="1"/>
  <c r="G75" i="2"/>
  <c r="L75" i="2" s="1"/>
  <c r="E75" i="2"/>
  <c r="J75" i="2" s="1"/>
  <c r="G85" i="2"/>
  <c r="L85" i="2" s="1"/>
  <c r="E85" i="2"/>
  <c r="J85" i="2" s="1"/>
  <c r="M85" i="2"/>
  <c r="F85" i="2"/>
  <c r="K85" i="2" s="1"/>
  <c r="G78" i="2"/>
  <c r="L78" i="2" s="1"/>
  <c r="M78" i="2"/>
  <c r="F78" i="2"/>
  <c r="K78" i="2" s="1"/>
  <c r="E78" i="2"/>
  <c r="J78" i="2" s="1"/>
  <c r="E80" i="2"/>
  <c r="J80" i="2" s="1"/>
  <c r="M80" i="2"/>
  <c r="E77" i="2"/>
  <c r="J77" i="2" s="1"/>
  <c r="M77" i="2"/>
  <c r="P27" i="2"/>
  <c r="F84" i="2"/>
  <c r="K84" i="2" s="1"/>
  <c r="G84" i="2"/>
  <c r="L84" i="2" s="1"/>
  <c r="P31" i="2"/>
  <c r="F80" i="2"/>
  <c r="K80" i="2" s="1"/>
  <c r="G61" i="2"/>
  <c r="L61" i="2" s="1"/>
  <c r="G80" i="2"/>
  <c r="L80" i="2" s="1"/>
  <c r="G72" i="2"/>
  <c r="L72" i="2" s="1"/>
  <c r="F61" i="2"/>
  <c r="K61" i="2" s="1"/>
  <c r="F87" i="2"/>
  <c r="K87" i="2" s="1"/>
  <c r="F83" i="2"/>
  <c r="K83" i="2" s="1"/>
  <c r="F72" i="2"/>
  <c r="K72" i="2" s="1"/>
  <c r="G87" i="2"/>
  <c r="L87" i="2" s="1"/>
  <c r="G83" i="2"/>
  <c r="L83" i="2" s="1"/>
  <c r="G77" i="2"/>
  <c r="L77" i="2" s="1"/>
  <c r="F77" i="2"/>
  <c r="K77" i="2" s="1"/>
  <c r="F88" i="2"/>
  <c r="K88" i="2" s="1"/>
  <c r="G88" i="2"/>
  <c r="L88" i="2" s="1"/>
  <c r="X14" i="2"/>
  <c r="X16" i="2" s="1"/>
  <c r="T16" i="2" s="1"/>
  <c r="H57" i="2"/>
  <c r="P32" i="2"/>
  <c r="H59" i="2"/>
  <c r="M59" i="2" s="1"/>
  <c r="C17" i="7" l="1"/>
  <c r="E22" i="7" s="1"/>
  <c r="C25" i="7" s="1"/>
  <c r="C18" i="7"/>
  <c r="E23" i="7" s="1"/>
  <c r="E67" i="2"/>
  <c r="J67" i="2" s="1"/>
  <c r="F67" i="2"/>
  <c r="K67" i="2" s="1"/>
  <c r="E49" i="2"/>
  <c r="N20" i="6" s="1"/>
  <c r="P20" i="6"/>
  <c r="F74" i="2"/>
  <c r="K74" i="2" s="1"/>
  <c r="M74" i="2"/>
  <c r="G74" i="2"/>
  <c r="L74" i="2" s="1"/>
  <c r="G73" i="2"/>
  <c r="L73" i="2" s="1"/>
  <c r="F73" i="2"/>
  <c r="K73" i="2" s="1"/>
  <c r="M73" i="2"/>
  <c r="G82" i="2"/>
  <c r="L82" i="2" s="1"/>
  <c r="M82" i="2"/>
  <c r="F82" i="2"/>
  <c r="K82" i="2" s="1"/>
  <c r="E82" i="2"/>
  <c r="J82" i="2" s="1"/>
  <c r="H76" i="2"/>
  <c r="M76" i="2" s="1"/>
  <c r="F81" i="2"/>
  <c r="K81" i="2" s="1"/>
  <c r="G81" i="2"/>
  <c r="L81" i="2" s="1"/>
  <c r="E81" i="2"/>
  <c r="J81" i="2" s="1"/>
  <c r="M58" i="2"/>
  <c r="O64" i="2"/>
  <c r="H64" i="2" s="1"/>
  <c r="M57" i="2"/>
  <c r="O63" i="2"/>
  <c r="X15" i="2"/>
  <c r="T15" i="2" s="1"/>
  <c r="T14" i="2"/>
  <c r="F59" i="2"/>
  <c r="K59" i="2" s="1"/>
  <c r="G59" i="2"/>
  <c r="L59" i="2" s="1"/>
  <c r="X17" i="2"/>
  <c r="T17" i="2" s="1"/>
  <c r="X18" i="2"/>
  <c r="T18" i="2" s="1"/>
  <c r="H56" i="2"/>
  <c r="F56" i="2" s="1"/>
  <c r="E58" i="2"/>
  <c r="J58" i="2" s="1"/>
  <c r="G58" i="2"/>
  <c r="L58" i="2" s="1"/>
  <c r="F58" i="2"/>
  <c r="K58" i="2" s="1"/>
  <c r="G57" i="2"/>
  <c r="L57" i="2" s="1"/>
  <c r="F57" i="2"/>
  <c r="K57" i="2" s="1"/>
  <c r="E57" i="2"/>
  <c r="J57" i="2" s="1"/>
  <c r="E59" i="2"/>
  <c r="J59" i="2" s="1"/>
  <c r="G76" i="2" l="1"/>
  <c r="L76" i="2" s="1"/>
  <c r="E76" i="2"/>
  <c r="J76" i="2" s="1"/>
  <c r="F76" i="2"/>
  <c r="K76" i="2" s="1"/>
  <c r="H63" i="2"/>
  <c r="H62" i="2"/>
  <c r="F64" i="2"/>
  <c r="K64" i="2" s="1"/>
  <c r="G64" i="2"/>
  <c r="L64" i="2" s="1"/>
  <c r="E64" i="2"/>
  <c r="J64" i="2" s="1"/>
  <c r="M64" i="2"/>
  <c r="M56" i="2"/>
  <c r="H70" i="2"/>
  <c r="M70" i="2" s="1"/>
  <c r="H71" i="2"/>
  <c r="M71" i="2" s="1"/>
  <c r="K56" i="2"/>
  <c r="G56" i="2"/>
  <c r="L56" i="2" s="1"/>
  <c r="E56" i="2"/>
  <c r="J56" i="2" s="1"/>
  <c r="E62" i="2" l="1"/>
  <c r="G62" i="2"/>
  <c r="L62" i="2" s="1"/>
  <c r="F62" i="2"/>
  <c r="K62" i="2" s="1"/>
  <c r="G63" i="2"/>
  <c r="L63" i="2" s="1"/>
  <c r="F63" i="2"/>
  <c r="K63" i="2" s="1"/>
  <c r="E63" i="2"/>
  <c r="J63" i="2" s="1"/>
  <c r="M62" i="2"/>
  <c r="M63" i="2"/>
  <c r="F71" i="2"/>
  <c r="K71" i="2" s="1"/>
  <c r="E71" i="2"/>
  <c r="J71" i="2" s="1"/>
  <c r="G71" i="2"/>
  <c r="L71" i="2" s="1"/>
  <c r="F70" i="2"/>
  <c r="K70" i="2" s="1"/>
  <c r="H60" i="2"/>
  <c r="M60" i="2" s="1"/>
  <c r="G70" i="2"/>
  <c r="L70" i="2" s="1"/>
  <c r="E70" i="2"/>
  <c r="J70" i="2" s="1"/>
  <c r="C10" i="7" s="1"/>
  <c r="C26" i="7" s="1"/>
  <c r="C28" i="7" s="1"/>
  <c r="C29" i="7" s="1"/>
  <c r="J62" i="2" l="1"/>
  <c r="O43" i="2"/>
  <c r="N14" i="6" s="1"/>
  <c r="F60" i="2"/>
  <c r="K60" i="2" s="1"/>
  <c r="G60" i="2"/>
  <c r="E60" i="2"/>
  <c r="J60" i="2" s="1"/>
  <c r="H89" i="2"/>
  <c r="P43" i="2" l="1"/>
  <c r="P14" i="6" s="1"/>
  <c r="Q43" i="2"/>
  <c r="M89" i="2"/>
  <c r="J46" i="2"/>
  <c r="L60" i="2"/>
  <c r="G89" i="2"/>
  <c r="L89" i="2" s="1"/>
  <c r="F89" i="2"/>
  <c r="K89" i="2" s="1"/>
  <c r="I43" i="2"/>
  <c r="L43" i="2" s="1"/>
  <c r="E89" i="2"/>
  <c r="E46" i="2"/>
  <c r="K43" i="2" l="1"/>
  <c r="K46" i="2"/>
  <c r="L46" i="2"/>
  <c r="O46" i="2"/>
  <c r="J89" i="2"/>
  <c r="E43" i="2"/>
  <c r="P46" i="2" l="1"/>
  <c r="P8" i="6" s="1"/>
  <c r="N8" i="6"/>
</calcChain>
</file>

<file path=xl/sharedStrings.xml><?xml version="1.0" encoding="utf-8"?>
<sst xmlns="http://schemas.openxmlformats.org/spreadsheetml/2006/main" count="227" uniqueCount="149">
  <si>
    <t>Aceitera de Soja</t>
  </si>
  <si>
    <t>Variables relevantes</t>
  </si>
  <si>
    <t>u$s/Tn</t>
  </si>
  <si>
    <r>
      <t xml:space="preserve">Precio de Venta
</t>
    </r>
    <r>
      <rPr>
        <sz val="12"/>
        <rFont val="Calibri"/>
        <family val="2"/>
        <scheme val="minor"/>
      </rPr>
      <t>Aceite de Soja</t>
    </r>
  </si>
  <si>
    <t>Tipo de Cambio</t>
  </si>
  <si>
    <t>Aceite</t>
  </si>
  <si>
    <t>Pellet de Soja</t>
  </si>
  <si>
    <t>Proporción Aceite</t>
  </si>
  <si>
    <r>
      <rPr>
        <sz val="10"/>
        <color theme="1"/>
        <rFont val="Calibri"/>
        <family val="2"/>
        <scheme val="minor"/>
      </rPr>
      <t>Ineficiencia total</t>
    </r>
    <r>
      <rPr>
        <sz val="11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Mermas del Proceso</t>
    </r>
  </si>
  <si>
    <t>Mermas Acondicionado</t>
  </si>
  <si>
    <t>Mermas Estruzado</t>
  </si>
  <si>
    <t>Tn/mes</t>
  </si>
  <si>
    <t>Molineda Poroto de Soja</t>
  </si>
  <si>
    <t>Poroto Soja</t>
  </si>
  <si>
    <t>Mermas</t>
  </si>
  <si>
    <t>Pellet</t>
  </si>
  <si>
    <r>
      <rPr>
        <sz val="8"/>
        <color theme="0"/>
        <rFont val="Calibri"/>
        <family val="2"/>
        <scheme val="minor"/>
      </rPr>
      <t>Desarrollado por</t>
    </r>
    <r>
      <rPr>
        <sz val="7"/>
        <color theme="0"/>
        <rFont val="Calibri"/>
        <family val="2"/>
        <scheme val="minor"/>
      </rPr>
      <t xml:space="preserve"> </t>
    </r>
    <r>
      <rPr>
        <sz val="9"/>
        <color theme="0"/>
        <rFont val="Calibri"/>
        <family val="2"/>
        <scheme val="minor"/>
      </rPr>
      <t xml:space="preserve">
</t>
    </r>
    <r>
      <rPr>
        <sz val="12"/>
        <color theme="0"/>
        <rFont val="Calibri"/>
        <family val="2"/>
        <scheme val="minor"/>
      </rPr>
      <t>Simpleza S.A.</t>
    </r>
  </si>
  <si>
    <t>Insumos y Productos del Proceso</t>
  </si>
  <si>
    <t>Mermar sobre poroto de soja ingresado</t>
  </si>
  <si>
    <r>
      <t xml:space="preserve">Precio de Venta
</t>
    </r>
    <r>
      <rPr>
        <sz val="12"/>
        <rFont val="Calibri"/>
        <family val="2"/>
        <scheme val="minor"/>
      </rPr>
      <t xml:space="preserve">Harina de Soja </t>
    </r>
  </si>
  <si>
    <t>Pellet de Soja 6% MG</t>
  </si>
  <si>
    <t>Harina de Soja</t>
  </si>
  <si>
    <t>Pellet 6%</t>
  </si>
  <si>
    <t>Harina</t>
  </si>
  <si>
    <t>Proporción Harina de Soja</t>
  </si>
  <si>
    <t>Molienda 23 a 18 hs</t>
  </si>
  <si>
    <t>Molienda 18 a 23 hs</t>
  </si>
  <si>
    <t>Costos Fijos</t>
  </si>
  <si>
    <t>Costos Variables</t>
  </si>
  <si>
    <t>Indicadores del Negocio</t>
  </si>
  <si>
    <r>
      <t>Multa</t>
    </r>
    <r>
      <rPr>
        <sz val="9"/>
        <color theme="1"/>
        <rFont val="Calibri"/>
        <family val="2"/>
        <scheme val="minor"/>
      </rPr>
      <t xml:space="preserve"> (Molienda Hora Pico)</t>
    </r>
  </si>
  <si>
    <t>U$S/Mes</t>
  </si>
  <si>
    <t>Margen de Ventas</t>
  </si>
  <si>
    <t>Ingresos por Ventas</t>
  </si>
  <si>
    <t>Aceite de Soja</t>
  </si>
  <si>
    <t>U$S/Tn 
Poroto Soja</t>
  </si>
  <si>
    <t>U$S/Tn 
Aceite Soja</t>
  </si>
  <si>
    <t>U$S/Tn 
Harina Soja</t>
  </si>
  <si>
    <t>*</t>
  </si>
  <si>
    <t>Poroto de Soja</t>
  </si>
  <si>
    <t>Energia Electrica (No Pico)</t>
  </si>
  <si>
    <t>Energia Electrica (Pico)</t>
  </si>
  <si>
    <t>Gasto de Vehiculos</t>
  </si>
  <si>
    <t>Alquileres</t>
  </si>
  <si>
    <t>IIBB</t>
  </si>
  <si>
    <t>ITF</t>
  </si>
  <si>
    <t>Amortizaciones</t>
  </si>
  <si>
    <t>Margen Negocio</t>
  </si>
  <si>
    <t>Tablero de Sensibilidad del Negocio.</t>
  </si>
  <si>
    <t>Precio Indiferencia
 Aceite</t>
  </si>
  <si>
    <t>Precio Indiferencia
 Pellet</t>
  </si>
  <si>
    <t>Precio Indiferencia 
Poroto</t>
  </si>
  <si>
    <t>Molienda Indiferencia</t>
  </si>
  <si>
    <t>$/Tn 
Poroto Soja</t>
  </si>
  <si>
    <t>$/Tn 
Aceite Soja</t>
  </si>
  <si>
    <t>$/Tn 
Harina Soja</t>
  </si>
  <si>
    <t>$/Mes</t>
  </si>
  <si>
    <t>Personal Planta</t>
  </si>
  <si>
    <t>Personal Administrativo</t>
  </si>
  <si>
    <t>$/Unidad</t>
  </si>
  <si>
    <t>Mantenimiento Linea 1</t>
  </si>
  <si>
    <t>Mantenimiento Linea 2</t>
  </si>
  <si>
    <t>Unidades</t>
  </si>
  <si>
    <t>Mantenimientos Fijos</t>
  </si>
  <si>
    <t>Comisión de Compra</t>
  </si>
  <si>
    <t>Comisión de Venta Aceite</t>
  </si>
  <si>
    <t>Comisión de Venta Harina</t>
  </si>
  <si>
    <t xml:space="preserve">  $/Tn</t>
  </si>
  <si>
    <t xml:space="preserve">  $/U$S</t>
  </si>
  <si>
    <t xml:space="preserve">  U$S/Mes</t>
  </si>
  <si>
    <t>Energia (Potencia Pico)</t>
  </si>
  <si>
    <t xml:space="preserve">* </t>
  </si>
  <si>
    <t>Energia (Exceso Potencia)</t>
  </si>
  <si>
    <t>Comisiones de Compra Soja</t>
  </si>
  <si>
    <t>Comisiones de Venta Aceite</t>
  </si>
  <si>
    <t>Comisiones de Venta Pellet</t>
  </si>
  <si>
    <t>Costo de Secada 14 a 10.5ᴼ</t>
  </si>
  <si>
    <t xml:space="preserve"> $/Tn</t>
  </si>
  <si>
    <t>Flete Campo a Planta</t>
  </si>
  <si>
    <t>Flete Campo a Planta Km</t>
  </si>
  <si>
    <t>Flete Campo a Puerto Km</t>
  </si>
  <si>
    <r>
      <t xml:space="preserve">Precio de Compra
</t>
    </r>
    <r>
      <rPr>
        <sz val="12"/>
        <rFont val="Calibri"/>
        <family val="2"/>
        <scheme val="minor"/>
      </rPr>
      <t>Soja (A retirar Campo)</t>
    </r>
  </si>
  <si>
    <t>$/Km</t>
  </si>
  <si>
    <t>Precio de Soja
Pizarra Rosario</t>
  </si>
  <si>
    <t>Mermas Descascarado</t>
  </si>
  <si>
    <t>Mermas Humedad 14 a 10,5</t>
  </si>
  <si>
    <t>Secada 14 a 10,5</t>
  </si>
  <si>
    <t>Coberturas MAT</t>
  </si>
  <si>
    <t>Costo Cobertura U$S/Tn</t>
  </si>
  <si>
    <t>Cobertura de Precios</t>
  </si>
  <si>
    <t>Tipo de cobertura</t>
  </si>
  <si>
    <t>Precio Ejercicio</t>
  </si>
  <si>
    <t>costo Prima</t>
  </si>
  <si>
    <t>Fecha</t>
  </si>
  <si>
    <t>Valor P mercado</t>
  </si>
  <si>
    <t>Diferencia</t>
  </si>
  <si>
    <t>Condciones a hoy</t>
  </si>
  <si>
    <t>Aceite usd 755 (o 735 + iva)  comision 1% flete usd 25/tn</t>
  </si>
  <si>
    <t>Pellets 88% precio pizarra menos flete aprox. 8%  comision 0,5%</t>
  </si>
  <si>
    <t xml:space="preserve">Compra de soja 91% precio pizarra menos $95/tn </t>
  </si>
  <si>
    <t xml:space="preserve">Otros gastos </t>
  </si>
  <si>
    <t>Gastos Admin. Y Estructura</t>
  </si>
  <si>
    <t>Energia (Potencia Fuera Pico)</t>
  </si>
  <si>
    <t>Modo de uso</t>
  </si>
  <si>
    <t>En la hoja Molienda se podrán modificar las siguientes variables</t>
  </si>
  <si>
    <t>* Rendimiento de subproductos</t>
  </si>
  <si>
    <t>* Tipo de cambio</t>
  </si>
  <si>
    <r>
      <t xml:space="preserve">* Precio de venta de aceite de soja </t>
    </r>
    <r>
      <rPr>
        <sz val="8"/>
        <color theme="1"/>
        <rFont val="Calibri"/>
        <family val="2"/>
        <scheme val="minor"/>
      </rPr>
      <t>($/tn)</t>
    </r>
  </si>
  <si>
    <r>
      <t xml:space="preserve">* Precio de venta de Expeller de soja </t>
    </r>
    <r>
      <rPr>
        <sz val="8"/>
        <color theme="1"/>
        <rFont val="Calibri"/>
        <family val="2"/>
        <scheme val="minor"/>
      </rPr>
      <t>($/tn)</t>
    </r>
  </si>
  <si>
    <r>
      <t xml:space="preserve">* Precio de venta de hariana de soja </t>
    </r>
    <r>
      <rPr>
        <sz val="8"/>
        <color theme="1"/>
        <rFont val="Calibri"/>
        <family val="2"/>
        <scheme val="minor"/>
      </rPr>
      <t>($/tn)</t>
    </r>
  </si>
  <si>
    <r>
      <t xml:space="preserve">* Costo de secada para clientes </t>
    </r>
    <r>
      <rPr>
        <sz val="8"/>
        <color theme="1"/>
        <rFont val="Calibri"/>
        <family val="2"/>
        <scheme val="minor"/>
      </rPr>
      <t>($/tn)</t>
    </r>
  </si>
  <si>
    <r>
      <t xml:space="preserve">* Precio de compra de Soja poroto </t>
    </r>
    <r>
      <rPr>
        <sz val="8"/>
        <color theme="1"/>
        <rFont val="Calibri"/>
        <family val="2"/>
        <scheme val="minor"/>
      </rPr>
      <t>($/tn</t>
    </r>
    <r>
      <rPr>
        <sz val="11"/>
        <color theme="1"/>
        <rFont val="Calibri"/>
        <family val="2"/>
        <scheme val="minor"/>
      </rPr>
      <t>) - precio neto que cobra el cliente</t>
    </r>
  </si>
  <si>
    <t>* Fletes a planta (de soja poroto)</t>
  </si>
  <si>
    <t>* Flete campo a puerto (es el dto a realzar al cliente)</t>
  </si>
  <si>
    <t>* Comisiones</t>
  </si>
  <si>
    <t>* Molienda de soja poroto</t>
  </si>
  <si>
    <t>El objetivo de este tablero es realizar el calculo de resultados de moler soja</t>
  </si>
  <si>
    <t>Flete Venta Expelet</t>
  </si>
  <si>
    <t>Flete Venta Aceite</t>
  </si>
  <si>
    <t>Flete Venta Expeler</t>
  </si>
  <si>
    <r>
      <t xml:space="preserve">Precio de Venta
</t>
    </r>
    <r>
      <rPr>
        <sz val="12"/>
        <rFont val="Calibri"/>
        <family val="2"/>
        <scheme val="minor"/>
      </rPr>
      <t>Expellet de Soja 6%MG</t>
    </r>
  </si>
  <si>
    <t>Condiciones Venta</t>
  </si>
  <si>
    <t>Condiciones Compra</t>
  </si>
  <si>
    <t>Precio Indiferencia Poroto de Soja</t>
  </si>
  <si>
    <t>Precio Equivalente Puerto Rosario</t>
  </si>
  <si>
    <t>Costo P.G.</t>
  </si>
  <si>
    <t>Calculo Eq.</t>
  </si>
  <si>
    <r>
      <t xml:space="preserve">Precio de Venta
</t>
    </r>
    <r>
      <rPr>
        <sz val="12"/>
        <rFont val="Calibri"/>
        <family val="2"/>
        <scheme val="minor"/>
      </rPr>
      <t>Expeller de Soja 6%MG</t>
    </r>
  </si>
  <si>
    <t>Flete Venta Expeller</t>
  </si>
  <si>
    <t>Cargas Sociales</t>
  </si>
  <si>
    <t>Costo Molienda</t>
  </si>
  <si>
    <t>Soja Molida</t>
  </si>
  <si>
    <t xml:space="preserve"> y vender los subproductos.</t>
  </si>
  <si>
    <t xml:space="preserve">Teniendo en cuenta los costos de estructura dde Agroindustria Pampa </t>
  </si>
  <si>
    <t>Efec. Proceso</t>
  </si>
  <si>
    <t>Kg</t>
  </si>
  <si>
    <t>Expeller</t>
  </si>
  <si>
    <t>$/Tn Ingreso</t>
  </si>
  <si>
    <t>Retiro Dueño Soja</t>
  </si>
  <si>
    <t>Saldo Pampa Gringa</t>
  </si>
  <si>
    <t>Valor Neto</t>
  </si>
  <si>
    <t>$/Kg</t>
  </si>
  <si>
    <t>Ingreso</t>
  </si>
  <si>
    <t>$/Tn Soja Ingresada</t>
  </si>
  <si>
    <t>Costo</t>
  </si>
  <si>
    <t>Margen</t>
  </si>
  <si>
    <t>Soja Ingreso</t>
  </si>
  <si>
    <t>Tablero Fazon</t>
  </si>
  <si>
    <t>U$S/Tn Soja Ingresada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</si>
</sst>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_ &quot;$&quot;\ * #,##0.00_ ;_ &quot;$&quot;\ * \-#,##0.00_ ;_ &quot;$&quot;\ * &quot;-&quot;??_ ;_ @_ "/>
    <numFmt numFmtId="165" formatCode="_-* #,##0.00\ _€_-;\-* #,##0.00\ _€_-;_-* &quot;-&quot;??\ _€_-;_-@_-"/>
    <numFmt numFmtId="166" formatCode="0.0%"/>
    <numFmt numFmtId="167" formatCode="0.000%"/>
    <numFmt numFmtId="168" formatCode="0.000000%"/>
    <numFmt numFmtId="169" formatCode="0\ &quot;U$S/Tn&quot;"/>
    <numFmt numFmtId="170" formatCode="0\ &quot;$/Tn&quot;"/>
    <numFmt numFmtId="171" formatCode="0\ &quot;Tn&quot;"/>
    <numFmt numFmtId="172" formatCode="0.0"/>
    <numFmt numFmtId="173" formatCode="0\ &quot;$/tn&quot;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3"/>
      <color theme="0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8"/>
      <color theme="3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7"/>
      <color theme="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8"/>
      <color theme="0" tint="-0.14999847407452621"/>
      <name val="Calibri"/>
      <family val="2"/>
      <scheme val="minor"/>
    </font>
    <font>
      <sz val="8"/>
      <color theme="0" tint="-0.34998626667073579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6"/>
      <color theme="0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theme="0" tint="-4.9989318521683403E-2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499984740745262"/>
      </top>
      <bottom/>
      <diagonal/>
    </border>
    <border>
      <left style="thin">
        <color theme="0" tint="-0.34998626667073579"/>
      </left>
      <right/>
      <top/>
      <bottom style="thin">
        <color theme="0" tint="-0.499984740745262"/>
      </bottom>
      <diagonal/>
    </border>
    <border>
      <left style="thin">
        <color theme="0" tint="-0.34998626667073579"/>
      </left>
      <right style="dashed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dashed">
        <color theme="0" tint="-0.34998626667073579"/>
      </left>
      <right style="dashed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dashed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dashed">
        <color theme="0" tint="-0.34998626667073579"/>
      </right>
      <top/>
      <bottom/>
      <diagonal/>
    </border>
    <border>
      <left style="dashed">
        <color theme="0" tint="-0.34998626667073579"/>
      </left>
      <right style="dashed">
        <color theme="0" tint="-0.34998626667073579"/>
      </right>
      <top/>
      <bottom/>
      <diagonal/>
    </border>
    <border>
      <left style="dashed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dashed">
        <color theme="0" tint="-0.34998626667073579"/>
      </right>
      <top/>
      <bottom style="thin">
        <color theme="0" tint="-0.34998626667073579"/>
      </bottom>
      <diagonal/>
    </border>
    <border>
      <left style="dashed">
        <color theme="0" tint="-0.34998626667073579"/>
      </left>
      <right style="dashed">
        <color theme="0" tint="-0.34998626667073579"/>
      </right>
      <top/>
      <bottom style="thin">
        <color theme="0" tint="-0.34998626667073579"/>
      </bottom>
      <diagonal/>
    </border>
    <border>
      <left style="dashed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ck">
        <color theme="1" tint="0.499984740745262"/>
      </left>
      <right/>
      <top style="thick">
        <color theme="1" tint="0.499984740745262"/>
      </top>
      <bottom/>
      <diagonal/>
    </border>
    <border>
      <left/>
      <right/>
      <top style="thick">
        <color theme="1" tint="0.499984740745262"/>
      </top>
      <bottom/>
      <diagonal/>
    </border>
    <border>
      <left/>
      <right style="thick">
        <color theme="1" tint="0.499984740745262"/>
      </right>
      <top style="thick">
        <color theme="1" tint="0.499984740745262"/>
      </top>
      <bottom/>
      <diagonal/>
    </border>
    <border>
      <left style="thick">
        <color theme="1" tint="0.499984740745262"/>
      </left>
      <right/>
      <top/>
      <bottom/>
      <diagonal/>
    </border>
    <border>
      <left/>
      <right style="thick">
        <color theme="1" tint="0.499984740745262"/>
      </right>
      <top/>
      <bottom/>
      <diagonal/>
    </border>
    <border>
      <left style="thick">
        <color theme="1" tint="0.499984740745262"/>
      </left>
      <right/>
      <top/>
      <bottom style="thick">
        <color theme="1" tint="0.499984740745262"/>
      </bottom>
      <diagonal/>
    </border>
    <border>
      <left/>
      <right/>
      <top/>
      <bottom style="thick">
        <color theme="1" tint="0.499984740745262"/>
      </bottom>
      <diagonal/>
    </border>
    <border>
      <left/>
      <right style="thick">
        <color theme="1" tint="0.499984740745262"/>
      </right>
      <top/>
      <bottom style="thick">
        <color theme="1" tint="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164" fontId="27" fillId="0" borderId="0" applyFont="0" applyFill="0" applyBorder="0" applyAlignment="0" applyProtection="0"/>
    <xf numFmtId="9" fontId="27" fillId="0" borderId="0" applyFont="0" applyFill="0" applyBorder="0" applyAlignment="0" applyProtection="0"/>
  </cellStyleXfs>
  <cellXfs count="254">
    <xf numFmtId="0" fontId="0" fillId="0" borderId="0" xfId="0"/>
    <xf numFmtId="0" fontId="0" fillId="0" borderId="0" xfId="0" applyFont="1"/>
    <xf numFmtId="0" fontId="2" fillId="4" borderId="0" xfId="0" applyFont="1" applyFill="1"/>
    <xf numFmtId="0" fontId="3" fillId="4" borderId="0" xfId="0" applyFont="1" applyFill="1"/>
    <xf numFmtId="0" fontId="0" fillId="3" borderId="0" xfId="0" applyFont="1" applyFill="1"/>
    <xf numFmtId="0" fontId="2" fillId="4" borderId="1" xfId="0" applyFont="1" applyFill="1" applyBorder="1"/>
    <xf numFmtId="0" fontId="0" fillId="7" borderId="0" xfId="0" applyFont="1" applyFill="1"/>
    <xf numFmtId="0" fontId="2" fillId="4" borderId="0" xfId="0" applyFont="1" applyFill="1" applyAlignment="1"/>
    <xf numFmtId="0" fontId="4" fillId="4" borderId="0" xfId="0" applyFont="1" applyFill="1" applyAlignment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  <xf numFmtId="0" fontId="0" fillId="0" borderId="11" xfId="0" applyFont="1" applyBorder="1"/>
    <xf numFmtId="0" fontId="0" fillId="0" borderId="0" xfId="0" applyFont="1" applyBorder="1"/>
    <xf numFmtId="0" fontId="0" fillId="0" borderId="12" xfId="0" applyFont="1" applyBorder="1"/>
    <xf numFmtId="0" fontId="0" fillId="0" borderId="13" xfId="0" applyFont="1" applyBorder="1"/>
    <xf numFmtId="0" fontId="0" fillId="0" borderId="14" xfId="0" applyFont="1" applyBorder="1"/>
    <xf numFmtId="0" fontId="0" fillId="0" borderId="15" xfId="0" applyFont="1" applyBorder="1"/>
    <xf numFmtId="0" fontId="15" fillId="0" borderId="0" xfId="0" applyFont="1" applyBorder="1"/>
    <xf numFmtId="0" fontId="0" fillId="0" borderId="11" xfId="0" applyFont="1" applyBorder="1" applyAlignment="1">
      <alignment vertical="center" wrapText="1"/>
    </xf>
    <xf numFmtId="166" fontId="15" fillId="0" borderId="0" xfId="0" applyNumberFormat="1" applyFont="1" applyBorder="1"/>
    <xf numFmtId="0" fontId="0" fillId="0" borderId="0" xfId="0" applyFont="1" applyBorder="1" applyAlignment="1">
      <alignment vertical="center"/>
    </xf>
    <xf numFmtId="166" fontId="6" fillId="0" borderId="17" xfId="2" applyNumberFormat="1" applyFont="1" applyBorder="1" applyAlignment="1">
      <alignment horizontal="center" vertical="center"/>
    </xf>
    <xf numFmtId="3" fontId="0" fillId="0" borderId="0" xfId="0" applyNumberFormat="1" applyFont="1" applyBorder="1"/>
    <xf numFmtId="0" fontId="0" fillId="0" borderId="0" xfId="0" applyFont="1" applyFill="1" applyBorder="1"/>
    <xf numFmtId="0" fontId="0" fillId="0" borderId="0" xfId="0" applyFont="1" applyAlignment="1"/>
    <xf numFmtId="0" fontId="0" fillId="5" borderId="8" xfId="0" applyFont="1" applyFill="1" applyBorder="1"/>
    <xf numFmtId="0" fontId="0" fillId="5" borderId="9" xfId="0" applyFont="1" applyFill="1" applyBorder="1"/>
    <xf numFmtId="0" fontId="0" fillId="5" borderId="10" xfId="0" applyFont="1" applyFill="1" applyBorder="1"/>
    <xf numFmtId="0" fontId="0" fillId="5" borderId="11" xfId="0" applyFont="1" applyFill="1" applyBorder="1"/>
    <xf numFmtId="0" fontId="0" fillId="5" borderId="0" xfId="0" applyFont="1" applyFill="1" applyBorder="1"/>
    <xf numFmtId="0" fontId="0" fillId="5" borderId="12" xfId="0" applyFont="1" applyFill="1" applyBorder="1"/>
    <xf numFmtId="0" fontId="8" fillId="4" borderId="0" xfId="0" applyFont="1" applyFill="1" applyAlignment="1">
      <alignment vertical="center"/>
    </xf>
    <xf numFmtId="0" fontId="0" fillId="0" borderId="13" xfId="0" applyFont="1" applyBorder="1" applyAlignment="1"/>
    <xf numFmtId="0" fontId="0" fillId="0" borderId="14" xfId="0" applyFont="1" applyBorder="1" applyAlignment="1"/>
    <xf numFmtId="0" fontId="0" fillId="0" borderId="15" xfId="0" applyFont="1" applyBorder="1" applyAlignment="1"/>
    <xf numFmtId="168" fontId="0" fillId="5" borderId="0" xfId="0" applyNumberFormat="1" applyFont="1" applyFill="1" applyBorder="1"/>
    <xf numFmtId="0" fontId="0" fillId="5" borderId="14" xfId="0" applyFont="1" applyFill="1" applyBorder="1" applyAlignment="1"/>
    <xf numFmtId="0" fontId="0" fillId="5" borderId="11" xfId="0" applyFont="1" applyFill="1" applyBorder="1" applyAlignment="1">
      <alignment horizontal="right"/>
    </xf>
    <xf numFmtId="0" fontId="0" fillId="5" borderId="15" xfId="0" applyFont="1" applyFill="1" applyBorder="1" applyAlignment="1"/>
    <xf numFmtId="0" fontId="0" fillId="0" borderId="16" xfId="0" applyFont="1" applyBorder="1" applyAlignment="1"/>
    <xf numFmtId="0" fontId="0" fillId="0" borderId="18" xfId="0" applyFont="1" applyBorder="1" applyAlignment="1"/>
    <xf numFmtId="0" fontId="19" fillId="0" borderId="0" xfId="0" applyFont="1"/>
    <xf numFmtId="0" fontId="19" fillId="0" borderId="0" xfId="0" applyFont="1" applyBorder="1" applyAlignment="1"/>
    <xf numFmtId="0" fontId="19" fillId="0" borderId="11" xfId="0" applyFont="1" applyBorder="1"/>
    <xf numFmtId="0" fontId="19" fillId="0" borderId="0" xfId="0" applyFont="1" applyBorder="1"/>
    <xf numFmtId="0" fontId="19" fillId="0" borderId="21" xfId="0" applyFont="1" applyBorder="1" applyAlignment="1">
      <alignment horizontal="center" wrapText="1"/>
    </xf>
    <xf numFmtId="0" fontId="19" fillId="0" borderId="22" xfId="0" applyFont="1" applyBorder="1" applyAlignment="1">
      <alignment horizontal="center" wrapText="1"/>
    </xf>
    <xf numFmtId="0" fontId="19" fillId="0" borderId="23" xfId="0" applyFont="1" applyBorder="1" applyAlignment="1">
      <alignment horizontal="center" vertical="center" wrapText="1"/>
    </xf>
    <xf numFmtId="3" fontId="19" fillId="0" borderId="24" xfId="1" applyNumberFormat="1" applyFont="1" applyBorder="1"/>
    <xf numFmtId="3" fontId="19" fillId="0" borderId="25" xfId="1" applyNumberFormat="1" applyFont="1" applyBorder="1"/>
    <xf numFmtId="3" fontId="19" fillId="0" borderId="26" xfId="1" applyNumberFormat="1" applyFont="1" applyBorder="1"/>
    <xf numFmtId="0" fontId="19" fillId="2" borderId="8" xfId="0" applyFont="1" applyFill="1" applyBorder="1"/>
    <xf numFmtId="0" fontId="19" fillId="2" borderId="9" xfId="0" applyFont="1" applyFill="1" applyBorder="1"/>
    <xf numFmtId="3" fontId="19" fillId="2" borderId="24" xfId="1" applyNumberFormat="1" applyFont="1" applyFill="1" applyBorder="1"/>
    <xf numFmtId="3" fontId="19" fillId="2" borderId="25" xfId="1" applyNumberFormat="1" applyFont="1" applyFill="1" applyBorder="1"/>
    <xf numFmtId="3" fontId="19" fillId="2" borderId="26" xfId="1" applyNumberFormat="1" applyFont="1" applyFill="1" applyBorder="1"/>
    <xf numFmtId="0" fontId="19" fillId="2" borderId="11" xfId="0" applyFont="1" applyFill="1" applyBorder="1"/>
    <xf numFmtId="0" fontId="19" fillId="2" borderId="0" xfId="0" applyFont="1" applyFill="1" applyBorder="1"/>
    <xf numFmtId="0" fontId="19" fillId="2" borderId="13" xfId="0" applyFont="1" applyFill="1" applyBorder="1"/>
    <xf numFmtId="0" fontId="0" fillId="2" borderId="14" xfId="0" applyFont="1" applyFill="1" applyBorder="1"/>
    <xf numFmtId="3" fontId="19" fillId="2" borderId="27" xfId="0" applyNumberFormat="1" applyFont="1" applyFill="1" applyBorder="1"/>
    <xf numFmtId="3" fontId="19" fillId="2" borderId="28" xfId="0" applyNumberFormat="1" applyFont="1" applyFill="1" applyBorder="1"/>
    <xf numFmtId="3" fontId="19" fillId="2" borderId="29" xfId="0" applyNumberFormat="1" applyFont="1" applyFill="1" applyBorder="1"/>
    <xf numFmtId="0" fontId="13" fillId="0" borderId="12" xfId="0" applyFont="1" applyBorder="1" applyAlignment="1">
      <alignment vertical="center"/>
    </xf>
    <xf numFmtId="0" fontId="0" fillId="0" borderId="16" xfId="0" applyFont="1" applyBorder="1"/>
    <xf numFmtId="0" fontId="0" fillId="0" borderId="18" xfId="0" applyFont="1" applyBorder="1"/>
    <xf numFmtId="0" fontId="9" fillId="4" borderId="17" xfId="0" applyFont="1" applyFill="1" applyBorder="1"/>
    <xf numFmtId="0" fontId="5" fillId="4" borderId="0" xfId="0" applyFont="1" applyFill="1" applyAlignment="1">
      <alignment horizontal="center" vertical="center"/>
    </xf>
    <xf numFmtId="166" fontId="7" fillId="0" borderId="0" xfId="2" applyNumberFormat="1" applyFont="1" applyBorder="1" applyAlignment="1">
      <alignment horizontal="center" vertical="center"/>
    </xf>
    <xf numFmtId="166" fontId="6" fillId="0" borderId="0" xfId="2" applyNumberFormat="1" applyFont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7" fillId="0" borderId="0" xfId="0" applyFont="1" applyBorder="1"/>
    <xf numFmtId="170" fontId="0" fillId="0" borderId="0" xfId="0" applyNumberFormat="1" applyFont="1" applyBorder="1"/>
    <xf numFmtId="0" fontId="24" fillId="8" borderId="31" xfId="0" applyFont="1" applyFill="1" applyBorder="1" applyAlignment="1">
      <alignment horizontal="center" vertical="center"/>
    </xf>
    <xf numFmtId="0" fontId="0" fillId="4" borderId="0" xfId="0" applyFont="1" applyFill="1" applyBorder="1" applyAlignment="1" applyProtection="1">
      <alignment horizontal="center"/>
      <protection locked="0"/>
    </xf>
    <xf numFmtId="0" fontId="24" fillId="8" borderId="32" xfId="0" applyFont="1" applyFill="1" applyBorder="1" applyAlignment="1" applyProtection="1">
      <alignment horizontal="center"/>
      <protection locked="0"/>
    </xf>
    <xf numFmtId="3" fontId="24" fillId="8" borderId="32" xfId="0" applyNumberFormat="1" applyFont="1" applyFill="1" applyBorder="1" applyAlignment="1" applyProtection="1">
      <alignment horizontal="center"/>
      <protection locked="0"/>
    </xf>
    <xf numFmtId="1" fontId="24" fillId="8" borderId="32" xfId="0" applyNumberFormat="1" applyFont="1" applyFill="1" applyBorder="1" applyAlignment="1" applyProtection="1">
      <alignment horizontal="center"/>
      <protection locked="0"/>
    </xf>
    <xf numFmtId="0" fontId="24" fillId="8" borderId="33" xfId="0" applyFont="1" applyFill="1" applyBorder="1" applyAlignment="1" applyProtection="1">
      <alignment horizontal="center"/>
      <protection locked="0"/>
    </xf>
    <xf numFmtId="9" fontId="24" fillId="8" borderId="32" xfId="2" applyFont="1" applyFill="1" applyBorder="1" applyAlignment="1" applyProtection="1">
      <alignment horizontal="center"/>
      <protection locked="0"/>
    </xf>
    <xf numFmtId="3" fontId="25" fillId="0" borderId="26" xfId="1" applyNumberFormat="1" applyFont="1" applyBorder="1"/>
    <xf numFmtId="3" fontId="25" fillId="2" borderId="26" xfId="1" applyNumberFormat="1" applyFont="1" applyFill="1" applyBorder="1"/>
    <xf numFmtId="0" fontId="13" fillId="0" borderId="12" xfId="0" applyFont="1" applyBorder="1" applyAlignment="1" applyProtection="1">
      <alignment horizontal="left" vertical="center"/>
      <protection locked="0"/>
    </xf>
    <xf numFmtId="3" fontId="0" fillId="0" borderId="18" xfId="0" applyNumberFormat="1" applyFont="1" applyBorder="1" applyAlignment="1" applyProtection="1"/>
    <xf numFmtId="0" fontId="0" fillId="0" borderId="0" xfId="0" applyFont="1" applyBorder="1" applyAlignment="1"/>
    <xf numFmtId="0" fontId="0" fillId="5" borderId="0" xfId="0" applyFont="1" applyFill="1" applyBorder="1" applyAlignment="1">
      <alignment horizontal="right"/>
    </xf>
    <xf numFmtId="166" fontId="0" fillId="5" borderId="0" xfId="0" applyNumberFormat="1" applyFont="1" applyFill="1" applyBorder="1" applyAlignment="1"/>
    <xf numFmtId="0" fontId="0" fillId="5" borderId="0" xfId="0" applyFont="1" applyFill="1" applyBorder="1" applyAlignment="1"/>
    <xf numFmtId="172" fontId="6" fillId="0" borderId="17" xfId="1" applyNumberFormat="1" applyFont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left" vertical="center" wrapText="1"/>
    </xf>
    <xf numFmtId="2" fontId="28" fillId="9" borderId="0" xfId="3" applyNumberFormat="1" applyFont="1" applyFill="1" applyBorder="1"/>
    <xf numFmtId="0" fontId="0" fillId="0" borderId="0" xfId="0" applyAlignment="1">
      <alignment horizontal="center"/>
    </xf>
    <xf numFmtId="0" fontId="0" fillId="0" borderId="8" xfId="0" applyFont="1" applyBorder="1" applyAlignment="1"/>
    <xf numFmtId="0" fontId="0" fillId="0" borderId="9" xfId="0" applyFont="1" applyBorder="1" applyAlignment="1"/>
    <xf numFmtId="0" fontId="0" fillId="5" borderId="9" xfId="0" applyFont="1" applyFill="1" applyBorder="1" applyAlignment="1">
      <alignment horizontal="right"/>
    </xf>
    <xf numFmtId="166" fontId="0" fillId="5" borderId="9" xfId="0" applyNumberFormat="1" applyFont="1" applyFill="1" applyBorder="1" applyAlignment="1"/>
    <xf numFmtId="0" fontId="0" fillId="5" borderId="9" xfId="0" applyFont="1" applyFill="1" applyBorder="1" applyAlignment="1"/>
    <xf numFmtId="0" fontId="0" fillId="5" borderId="10" xfId="0" applyFont="1" applyFill="1" applyBorder="1" applyAlignment="1"/>
    <xf numFmtId="0" fontId="0" fillId="0" borderId="11" xfId="0" applyFont="1" applyBorder="1" applyAlignment="1"/>
    <xf numFmtId="0" fontId="0" fillId="5" borderId="12" xfId="0" applyFont="1" applyFill="1" applyBorder="1" applyAlignment="1"/>
    <xf numFmtId="166" fontId="6" fillId="0" borderId="14" xfId="2" applyNumberFormat="1" applyFont="1" applyBorder="1" applyAlignment="1">
      <alignment horizontal="center" vertical="center"/>
    </xf>
    <xf numFmtId="0" fontId="0" fillId="5" borderId="14" xfId="0" applyFont="1" applyFill="1" applyBorder="1" applyAlignment="1">
      <alignment horizontal="right"/>
    </xf>
    <xf numFmtId="166" fontId="0" fillId="5" borderId="14" xfId="0" applyNumberFormat="1" applyFont="1" applyFill="1" applyBorder="1" applyAlignment="1"/>
    <xf numFmtId="0" fontId="0" fillId="4" borderId="17" xfId="0" applyFont="1" applyFill="1" applyBorder="1" applyAlignment="1" applyProtection="1">
      <alignment horizontal="center"/>
      <protection locked="0"/>
    </xf>
    <xf numFmtId="172" fontId="24" fillId="8" borderId="32" xfId="0" applyNumberFormat="1" applyFont="1" applyFill="1" applyBorder="1" applyAlignment="1" applyProtection="1">
      <alignment horizontal="center"/>
      <protection locked="0"/>
    </xf>
    <xf numFmtId="0" fontId="0" fillId="9" borderId="0" xfId="0" applyFont="1" applyFill="1"/>
    <xf numFmtId="0" fontId="0" fillId="9" borderId="11" xfId="0" applyFont="1" applyFill="1" applyBorder="1"/>
    <xf numFmtId="0" fontId="22" fillId="9" borderId="0" xfId="0" applyFont="1" applyFill="1" applyBorder="1" applyAlignment="1">
      <alignment horizontal="left" vertical="center" wrapText="1"/>
    </xf>
    <xf numFmtId="171" fontId="21" fillId="9" borderId="0" xfId="2" applyNumberFormat="1" applyFont="1" applyFill="1" applyBorder="1" applyAlignment="1">
      <alignment horizontal="center" vertical="center"/>
    </xf>
    <xf numFmtId="0" fontId="0" fillId="9" borderId="0" xfId="0" applyFont="1" applyFill="1" applyBorder="1"/>
    <xf numFmtId="169" fontId="23" fillId="9" borderId="0" xfId="2" applyNumberFormat="1" applyFont="1" applyFill="1" applyBorder="1" applyAlignment="1">
      <alignment horizontal="center" vertical="center"/>
    </xf>
    <xf numFmtId="170" fontId="23" fillId="9" borderId="0" xfId="2" applyNumberFormat="1" applyFont="1" applyFill="1" applyBorder="1" applyAlignment="1">
      <alignment horizontal="center" vertical="center"/>
    </xf>
    <xf numFmtId="9" fontId="26" fillId="9" borderId="0" xfId="2" applyFont="1" applyFill="1" applyAlignment="1">
      <alignment horizontal="center" vertical="center"/>
    </xf>
    <xf numFmtId="0" fontId="0" fillId="9" borderId="12" xfId="0" applyFont="1" applyFill="1" applyBorder="1"/>
    <xf numFmtId="167" fontId="0" fillId="0" borderId="0" xfId="0" applyNumberFormat="1" applyFont="1" applyBorder="1"/>
    <xf numFmtId="0" fontId="0" fillId="0" borderId="0" xfId="0" applyFont="1" applyBorder="1" applyAlignment="1">
      <alignment horizontal="left"/>
    </xf>
    <xf numFmtId="172" fontId="6" fillId="0" borderId="17" xfId="1" applyNumberFormat="1" applyFont="1" applyBorder="1" applyAlignment="1" applyProtection="1">
      <alignment horizontal="center" vertical="center"/>
      <protection locked="0"/>
    </xf>
    <xf numFmtId="166" fontId="6" fillId="0" borderId="17" xfId="2" applyNumberFormat="1" applyFont="1" applyBorder="1" applyAlignment="1" applyProtection="1">
      <alignment horizontal="center" vertical="center"/>
      <protection locked="0"/>
    </xf>
    <xf numFmtId="3" fontId="6" fillId="0" borderId="18" xfId="2" applyNumberFormat="1" applyFont="1" applyBorder="1" applyAlignment="1" applyProtection="1">
      <alignment horizontal="right" vertical="center"/>
      <protection locked="0"/>
    </xf>
    <xf numFmtId="0" fontId="9" fillId="4" borderId="34" xfId="0" applyFont="1" applyFill="1" applyBorder="1" applyAlignment="1" applyProtection="1">
      <alignment horizontal="center" vertical="center" wrapText="1"/>
      <protection locked="0"/>
    </xf>
    <xf numFmtId="173" fontId="19" fillId="0" borderId="0" xfId="0" applyNumberFormat="1" applyFont="1" applyAlignment="1">
      <alignment horizontal="center"/>
    </xf>
    <xf numFmtId="0" fontId="30" fillId="0" borderId="0" xfId="0" applyFont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0" xfId="0" applyBorder="1"/>
    <xf numFmtId="0" fontId="0" fillId="0" borderId="42" xfId="0" applyBorder="1"/>
    <xf numFmtId="2" fontId="24" fillId="8" borderId="32" xfId="0" applyNumberFormat="1" applyFont="1" applyFill="1" applyBorder="1" applyAlignment="1" applyProtection="1">
      <alignment horizontal="center"/>
      <protection locked="0"/>
    </xf>
    <xf numFmtId="0" fontId="5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16" fillId="0" borderId="0" xfId="0" applyFont="1" applyBorder="1" applyAlignment="1">
      <alignment wrapText="1"/>
    </xf>
    <xf numFmtId="172" fontId="6" fillId="0" borderId="0" xfId="1" applyNumberFormat="1" applyFont="1" applyBorder="1" applyAlignment="1" applyProtection="1">
      <alignment horizontal="center" vertical="center"/>
      <protection locked="0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30" xfId="0" applyBorder="1"/>
    <xf numFmtId="0" fontId="0" fillId="0" borderId="43" xfId="0" applyBorder="1"/>
    <xf numFmtId="173" fontId="19" fillId="0" borderId="0" xfId="0" applyNumberFormat="1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1" fontId="6" fillId="0" borderId="17" xfId="1" applyNumberFormat="1" applyFont="1" applyBorder="1" applyAlignment="1" applyProtection="1">
      <alignment horizontal="right" vertical="center"/>
      <protection locked="0"/>
    </xf>
    <xf numFmtId="0" fontId="0" fillId="4" borderId="0" xfId="0" applyFill="1"/>
    <xf numFmtId="9" fontId="0" fillId="0" borderId="0" xfId="0" applyNumberFormat="1"/>
    <xf numFmtId="3" fontId="0" fillId="0" borderId="0" xfId="0" applyNumberFormat="1"/>
    <xf numFmtId="3" fontId="0" fillId="0" borderId="0" xfId="1" applyNumberFormat="1" applyFont="1" applyAlignment="1">
      <alignment horizontal="center"/>
    </xf>
    <xf numFmtId="0" fontId="0" fillId="0" borderId="52" xfId="0" applyBorder="1"/>
    <xf numFmtId="9" fontId="0" fillId="0" borderId="52" xfId="0" applyNumberFormat="1" applyBorder="1"/>
    <xf numFmtId="3" fontId="0" fillId="0" borderId="53" xfId="1" applyNumberFormat="1" applyFont="1" applyBorder="1" applyAlignment="1">
      <alignment horizontal="center"/>
    </xf>
    <xf numFmtId="3" fontId="0" fillId="0" borderId="7" xfId="1" applyNumberFormat="1" applyFont="1" applyBorder="1" applyAlignment="1">
      <alignment horizontal="center"/>
    </xf>
    <xf numFmtId="9" fontId="0" fillId="0" borderId="53" xfId="2" applyFont="1" applyBorder="1" applyAlignment="1">
      <alignment horizontal="center"/>
    </xf>
    <xf numFmtId="1" fontId="0" fillId="0" borderId="53" xfId="0" applyNumberFormat="1" applyBorder="1" applyAlignment="1">
      <alignment horizontal="center"/>
    </xf>
    <xf numFmtId="3" fontId="0" fillId="0" borderId="53" xfId="0" applyNumberFormat="1" applyBorder="1" applyAlignment="1">
      <alignment horizontal="center"/>
    </xf>
    <xf numFmtId="1" fontId="23" fillId="4" borderId="53" xfId="0" applyNumberFormat="1" applyFont="1" applyFill="1" applyBorder="1" applyAlignment="1">
      <alignment horizontal="center"/>
    </xf>
    <xf numFmtId="0" fontId="23" fillId="4" borderId="0" xfId="0" applyFont="1" applyFill="1" applyAlignment="1">
      <alignment vertical="center"/>
    </xf>
    <xf numFmtId="0" fontId="8" fillId="4" borderId="43" xfId="0" applyFont="1" applyFill="1" applyBorder="1" applyAlignment="1">
      <alignment vertical="center"/>
    </xf>
    <xf numFmtId="0" fontId="8" fillId="4" borderId="7" xfId="0" applyFont="1" applyFill="1" applyBorder="1" applyAlignment="1">
      <alignment vertical="center"/>
    </xf>
    <xf numFmtId="3" fontId="0" fillId="0" borderId="52" xfId="0" applyNumberFormat="1" applyBorder="1"/>
    <xf numFmtId="0" fontId="33" fillId="0" borderId="53" xfId="0" applyFont="1" applyBorder="1" applyAlignment="1">
      <alignment horizontal="center"/>
    </xf>
    <xf numFmtId="0" fontId="33" fillId="0" borderId="52" xfId="0" applyFont="1" applyBorder="1"/>
    <xf numFmtId="169" fontId="32" fillId="4" borderId="45" xfId="2" applyNumberFormat="1" applyFont="1" applyFill="1" applyBorder="1" applyAlignment="1">
      <alignment horizontal="center" vertical="center"/>
    </xf>
    <xf numFmtId="169" fontId="32" fillId="4" borderId="0" xfId="2" applyNumberFormat="1" applyFont="1" applyFill="1" applyBorder="1" applyAlignment="1">
      <alignment horizontal="center" vertical="center"/>
    </xf>
    <xf numFmtId="169" fontId="32" fillId="4" borderId="50" xfId="2" applyNumberFormat="1" applyFont="1" applyFill="1" applyBorder="1" applyAlignment="1">
      <alignment horizontal="center" vertical="center"/>
    </xf>
    <xf numFmtId="170" fontId="32" fillId="4" borderId="45" xfId="2" applyNumberFormat="1" applyFont="1" applyFill="1" applyBorder="1" applyAlignment="1">
      <alignment horizontal="center" vertical="center"/>
    </xf>
    <xf numFmtId="170" fontId="32" fillId="4" borderId="46" xfId="2" applyNumberFormat="1" applyFont="1" applyFill="1" applyBorder="1" applyAlignment="1">
      <alignment horizontal="center" vertical="center"/>
    </xf>
    <xf numFmtId="170" fontId="32" fillId="4" borderId="0" xfId="2" applyNumberFormat="1" applyFont="1" applyFill="1" applyBorder="1" applyAlignment="1">
      <alignment horizontal="center" vertical="center"/>
    </xf>
    <xf numFmtId="170" fontId="32" fillId="4" borderId="48" xfId="2" applyNumberFormat="1" applyFont="1" applyFill="1" applyBorder="1" applyAlignment="1">
      <alignment horizontal="center" vertical="center"/>
    </xf>
    <xf numFmtId="170" fontId="32" fillId="4" borderId="50" xfId="2" applyNumberFormat="1" applyFont="1" applyFill="1" applyBorder="1" applyAlignment="1">
      <alignment horizontal="center" vertical="center"/>
    </xf>
    <xf numFmtId="170" fontId="32" fillId="4" borderId="51" xfId="2" applyNumberFormat="1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31" fillId="4" borderId="44" xfId="0" applyFont="1" applyFill="1" applyBorder="1" applyAlignment="1">
      <alignment horizontal="center" vertical="center" wrapText="1"/>
    </xf>
    <xf numFmtId="0" fontId="31" fillId="4" borderId="45" xfId="0" applyFont="1" applyFill="1" applyBorder="1" applyAlignment="1">
      <alignment horizontal="center" vertical="center" wrapText="1"/>
    </xf>
    <xf numFmtId="0" fontId="31" fillId="4" borderId="47" xfId="0" applyFont="1" applyFill="1" applyBorder="1" applyAlignment="1">
      <alignment horizontal="center" vertical="center" wrapText="1"/>
    </xf>
    <xf numFmtId="0" fontId="31" fillId="4" borderId="0" xfId="0" applyFont="1" applyFill="1" applyBorder="1" applyAlignment="1">
      <alignment horizontal="center" vertical="center" wrapText="1"/>
    </xf>
    <xf numFmtId="0" fontId="31" fillId="4" borderId="49" xfId="0" applyFont="1" applyFill="1" applyBorder="1" applyAlignment="1">
      <alignment horizontal="center" vertical="center" wrapText="1"/>
    </xf>
    <xf numFmtId="0" fontId="31" fillId="4" borderId="50" xfId="0" applyFont="1" applyFill="1" applyBorder="1" applyAlignment="1">
      <alignment horizontal="center" vertical="center" wrapText="1"/>
    </xf>
    <xf numFmtId="169" fontId="32" fillId="4" borderId="44" xfId="2" applyNumberFormat="1" applyFont="1" applyFill="1" applyBorder="1" applyAlignment="1">
      <alignment horizontal="center" vertical="center"/>
    </xf>
    <xf numFmtId="169" fontId="32" fillId="4" borderId="46" xfId="2" applyNumberFormat="1" applyFont="1" applyFill="1" applyBorder="1" applyAlignment="1">
      <alignment horizontal="center" vertical="center"/>
    </xf>
    <xf numFmtId="169" fontId="32" fillId="4" borderId="47" xfId="2" applyNumberFormat="1" applyFont="1" applyFill="1" applyBorder="1" applyAlignment="1">
      <alignment horizontal="center" vertical="center"/>
    </xf>
    <xf numFmtId="169" fontId="32" fillId="4" borderId="48" xfId="2" applyNumberFormat="1" applyFont="1" applyFill="1" applyBorder="1" applyAlignment="1">
      <alignment horizontal="center" vertical="center"/>
    </xf>
    <xf numFmtId="169" fontId="32" fillId="4" borderId="49" xfId="2" applyNumberFormat="1" applyFont="1" applyFill="1" applyBorder="1" applyAlignment="1">
      <alignment horizontal="center" vertical="center"/>
    </xf>
    <xf numFmtId="169" fontId="32" fillId="4" borderId="51" xfId="2" applyNumberFormat="1" applyFont="1" applyFill="1" applyBorder="1" applyAlignment="1">
      <alignment horizontal="center" vertical="center"/>
    </xf>
    <xf numFmtId="0" fontId="16" fillId="0" borderId="16" xfId="0" applyFont="1" applyBorder="1" applyAlignment="1">
      <alignment wrapText="1"/>
    </xf>
    <xf numFmtId="0" fontId="16" fillId="0" borderId="18" xfId="0" applyFont="1" applyBorder="1" applyAlignment="1">
      <alignment wrapText="1"/>
    </xf>
    <xf numFmtId="0" fontId="2" fillId="6" borderId="0" xfId="0" applyFont="1" applyFill="1" applyBorder="1" applyAlignment="1">
      <alignment horizontal="center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3" fontId="7" fillId="0" borderId="3" xfId="1" applyNumberFormat="1" applyFont="1" applyBorder="1" applyAlignment="1" applyProtection="1">
      <alignment vertical="center"/>
      <protection locked="0"/>
    </xf>
    <xf numFmtId="3" fontId="7" fillId="0" borderId="6" xfId="1" applyNumberFormat="1" applyFont="1" applyBorder="1" applyAlignment="1" applyProtection="1">
      <alignment vertical="center"/>
      <protection locked="0"/>
    </xf>
    <xf numFmtId="0" fontId="9" fillId="4" borderId="4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3" fontId="7" fillId="0" borderId="3" xfId="1" applyNumberFormat="1" applyFont="1" applyBorder="1" applyAlignment="1">
      <alignment vertical="center"/>
    </xf>
    <xf numFmtId="3" fontId="7" fillId="0" borderId="6" xfId="1" applyNumberFormat="1" applyFont="1" applyBorder="1" applyAlignment="1">
      <alignment vertical="center"/>
    </xf>
    <xf numFmtId="0" fontId="9" fillId="4" borderId="4" xfId="0" applyFont="1" applyFill="1" applyBorder="1" applyAlignment="1">
      <alignment horizontal="left" vertical="center"/>
    </xf>
    <xf numFmtId="0" fontId="9" fillId="4" borderId="7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0" fillId="0" borderId="8" xfId="0" applyFont="1" applyBorder="1" applyAlignment="1">
      <alignment horizontal="left" vertical="center"/>
    </xf>
    <xf numFmtId="0" fontId="0" fillId="0" borderId="10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0" borderId="15" xfId="0" applyFont="1" applyBorder="1" applyAlignment="1">
      <alignment horizontal="left" vertical="center"/>
    </xf>
    <xf numFmtId="0" fontId="2" fillId="6" borderId="14" xfId="0" applyFont="1" applyFill="1" applyBorder="1" applyAlignment="1">
      <alignment horizontal="center"/>
    </xf>
    <xf numFmtId="0" fontId="8" fillId="4" borderId="0" xfId="0" applyFont="1" applyFill="1" applyAlignment="1">
      <alignment horizontal="left" vertical="center" wrapText="1"/>
    </xf>
    <xf numFmtId="0" fontId="18" fillId="5" borderId="9" xfId="0" applyFont="1" applyFill="1" applyBorder="1" applyAlignment="1">
      <alignment horizontal="center" wrapText="1"/>
    </xf>
    <xf numFmtId="0" fontId="18" fillId="5" borderId="0" xfId="0" applyFont="1" applyFill="1" applyBorder="1" applyAlignment="1">
      <alignment horizontal="center" wrapText="1"/>
    </xf>
    <xf numFmtId="166" fontId="7" fillId="0" borderId="10" xfId="2" applyNumberFormat="1" applyFont="1" applyBorder="1" applyAlignment="1" applyProtection="1">
      <alignment horizontal="center" vertical="center"/>
      <protection locked="0"/>
    </xf>
    <xf numFmtId="166" fontId="7" fillId="0" borderId="15" xfId="2" applyNumberFormat="1" applyFont="1" applyBorder="1" applyAlignment="1" applyProtection="1">
      <alignment horizontal="center" vertical="center"/>
      <protection locked="0"/>
    </xf>
    <xf numFmtId="0" fontId="0" fillId="0" borderId="8" xfId="0" applyFont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14" fillId="4" borderId="4" xfId="0" applyFont="1" applyFill="1" applyBorder="1" applyAlignment="1" applyProtection="1">
      <alignment horizontal="center" vertical="center"/>
      <protection locked="0"/>
    </xf>
    <xf numFmtId="0" fontId="14" fillId="4" borderId="7" xfId="0" applyFont="1" applyFill="1" applyBorder="1" applyAlignment="1" applyProtection="1">
      <alignment horizontal="center" vertical="center"/>
      <protection locked="0"/>
    </xf>
    <xf numFmtId="166" fontId="7" fillId="0" borderId="19" xfId="2" applyNumberFormat="1" applyFont="1" applyBorder="1" applyAlignment="1">
      <alignment horizontal="center" vertical="center"/>
    </xf>
    <xf numFmtId="166" fontId="7" fillId="0" borderId="20" xfId="2" applyNumberFormat="1" applyFont="1" applyBorder="1" applyAlignment="1">
      <alignment horizontal="center" vertical="center"/>
    </xf>
    <xf numFmtId="0" fontId="9" fillId="4" borderId="4" xfId="0" applyFont="1" applyFill="1" applyBorder="1" applyAlignment="1" applyProtection="1">
      <alignment horizontal="left" vertical="center"/>
      <protection locked="0"/>
    </xf>
    <xf numFmtId="0" fontId="9" fillId="4" borderId="7" xfId="0" applyFont="1" applyFill="1" applyBorder="1" applyAlignment="1" applyProtection="1">
      <alignment horizontal="left" vertical="center"/>
      <protection locked="0"/>
    </xf>
    <xf numFmtId="0" fontId="22" fillId="4" borderId="0" xfId="0" applyFont="1" applyFill="1" applyBorder="1" applyAlignment="1">
      <alignment horizontal="left" vertical="center" wrapText="1"/>
    </xf>
    <xf numFmtId="169" fontId="23" fillId="4" borderId="0" xfId="2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4" fontId="7" fillId="0" borderId="3" xfId="1" applyNumberFormat="1" applyFont="1" applyBorder="1" applyAlignment="1" applyProtection="1">
      <alignment vertical="center"/>
      <protection locked="0"/>
    </xf>
    <xf numFmtId="4" fontId="7" fillId="0" borderId="6" xfId="1" applyNumberFormat="1" applyFont="1" applyBorder="1" applyAlignment="1" applyProtection="1">
      <alignment vertical="center"/>
      <protection locked="0"/>
    </xf>
    <xf numFmtId="0" fontId="13" fillId="0" borderId="30" xfId="0" applyFont="1" applyBorder="1" applyAlignment="1" applyProtection="1">
      <alignment horizontal="left" vertical="center"/>
      <protection locked="0"/>
    </xf>
    <xf numFmtId="0" fontId="20" fillId="4" borderId="11" xfId="0" applyFont="1" applyFill="1" applyBorder="1" applyAlignment="1">
      <alignment horizontal="center" vertical="center" wrapText="1"/>
    </xf>
    <xf numFmtId="0" fontId="29" fillId="0" borderId="16" xfId="0" applyFont="1" applyBorder="1" applyAlignment="1">
      <alignment horizontal="left" wrapText="1"/>
    </xf>
    <xf numFmtId="0" fontId="29" fillId="0" borderId="18" xfId="0" applyFont="1" applyBorder="1" applyAlignment="1">
      <alignment horizontal="left" wrapText="1"/>
    </xf>
    <xf numFmtId="170" fontId="23" fillId="4" borderId="0" xfId="2" applyNumberFormat="1" applyFont="1" applyFill="1" applyBorder="1" applyAlignment="1">
      <alignment horizontal="center" vertical="center"/>
    </xf>
    <xf numFmtId="171" fontId="21" fillId="4" borderId="0" xfId="2" applyNumberFormat="1" applyFont="1" applyFill="1" applyBorder="1" applyAlignment="1">
      <alignment horizontal="center" vertical="center"/>
    </xf>
    <xf numFmtId="0" fontId="9" fillId="4" borderId="17" xfId="0" applyFont="1" applyFill="1" applyBorder="1" applyAlignment="1" applyProtection="1">
      <alignment horizontal="left" vertical="center"/>
      <protection locked="0"/>
    </xf>
    <xf numFmtId="9" fontId="21" fillId="4" borderId="0" xfId="2" applyFont="1" applyFill="1" applyBorder="1" applyAlignment="1">
      <alignment horizontal="center" vertical="center"/>
    </xf>
    <xf numFmtId="169" fontId="23" fillId="4" borderId="0" xfId="2" applyNumberFormat="1" applyFont="1" applyFill="1" applyBorder="1" applyAlignment="1">
      <alignment horizontal="right" vertical="center"/>
    </xf>
    <xf numFmtId="9" fontId="26" fillId="0" borderId="0" xfId="2" applyFont="1" applyAlignment="1">
      <alignment horizontal="left" vertical="center"/>
    </xf>
    <xf numFmtId="0" fontId="16" fillId="0" borderId="16" xfId="0" applyFont="1" applyBorder="1" applyAlignment="1">
      <alignment horizontal="left" wrapText="1"/>
    </xf>
    <xf numFmtId="0" fontId="16" fillId="0" borderId="18" xfId="0" applyFont="1" applyBorder="1" applyAlignment="1">
      <alignment horizontal="left" wrapText="1"/>
    </xf>
    <xf numFmtId="0" fontId="16" fillId="0" borderId="16" xfId="0" applyFont="1" applyBorder="1" applyAlignment="1">
      <alignment vertical="center" wrapText="1"/>
    </xf>
    <xf numFmtId="0" fontId="16" fillId="0" borderId="18" xfId="0" applyFont="1" applyBorder="1" applyAlignment="1">
      <alignment vertical="center" wrapText="1"/>
    </xf>
    <xf numFmtId="0" fontId="16" fillId="0" borderId="16" xfId="0" applyFont="1" applyBorder="1" applyAlignment="1">
      <alignment vertical="center"/>
    </xf>
    <xf numFmtId="0" fontId="16" fillId="0" borderId="18" xfId="0" applyFont="1" applyBorder="1" applyAlignment="1">
      <alignment vertical="center"/>
    </xf>
    <xf numFmtId="3" fontId="7" fillId="0" borderId="3" xfId="1" applyNumberFormat="1" applyFont="1" applyBorder="1" applyAlignment="1" applyProtection="1">
      <alignment horizontal="right" vertical="center"/>
      <protection locked="0"/>
    </xf>
    <xf numFmtId="3" fontId="7" fillId="0" borderId="6" xfId="1" applyNumberFormat="1" applyFont="1" applyBorder="1" applyAlignment="1" applyProtection="1">
      <alignment horizontal="right" vertical="center"/>
      <protection locked="0"/>
    </xf>
    <xf numFmtId="0" fontId="23" fillId="4" borderId="3" xfId="0" applyFont="1" applyFill="1" applyBorder="1" applyAlignment="1">
      <alignment horizontal="center" vertical="center"/>
    </xf>
    <xf numFmtId="0" fontId="23" fillId="4" borderId="0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6">
    <cellStyle name="Millares" xfId="1" builtinId="3"/>
    <cellStyle name="Moneda 2" xfId="4"/>
    <cellStyle name="Normal" xfId="0" builtinId="0"/>
    <cellStyle name="Normal 2" xfId="3"/>
    <cellStyle name="Porcentaje" xfId="2" builtinId="5"/>
    <cellStyle name="Porcentaje 2" xf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0"/>
    <c:plotArea>
      <c:layout>
        <c:manualLayout>
          <c:layoutTarget val="inner"/>
          <c:xMode val="edge"/>
          <c:yMode val="edge"/>
          <c:x val="3.3686222260962927E-2"/>
          <c:y val="0.14301936465550197"/>
          <c:w val="0.66060139246595517"/>
          <c:h val="0.76354235912462642"/>
        </c:manualLayout>
      </c:layout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Molienda!$O$27:$O$32</c:f>
              <c:strCache>
                <c:ptCount val="6"/>
                <c:pt idx="0">
                  <c:v>Aceite</c:v>
                </c:pt>
                <c:pt idx="4">
                  <c:v>Pellet</c:v>
                </c:pt>
                <c:pt idx="5">
                  <c:v>Mermas</c:v>
                </c:pt>
              </c:strCache>
            </c:strRef>
          </c:cat>
          <c:val>
            <c:numRef>
              <c:f>Molienda!$P$27:$P$32</c:f>
              <c:numCache>
                <c:formatCode>0.000000%</c:formatCode>
                <c:ptCount val="6"/>
                <c:pt idx="0">
                  <c:v>0.13452513966480448</c:v>
                </c:pt>
                <c:pt idx="4" formatCode="General">
                  <c:v>0.82636871508379883</c:v>
                </c:pt>
                <c:pt idx="5" formatCode="General">
                  <c:v>3.9106145251396648E-2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trlProps/ctrlProp1.xml><?xml version="1.0" encoding="utf-8"?>
<formControlPr xmlns="http://schemas.microsoft.com/office/spreadsheetml/2009/9/main" objectType="Spin" dx="16" fmlaLink="Molienda!$E$10" max="30000" page="10" val="620"/>
</file>

<file path=xl/ctrlProps/ctrlProp2.xml><?xml version="1.0" encoding="utf-8"?>
<formControlPr xmlns="http://schemas.microsoft.com/office/spreadsheetml/2009/9/main" objectType="Spin" dx="16" fmlaLink="Molienda!$E$12" max="30000" page="10" val="334"/>
</file>

<file path=xl/ctrlProps/ctrlProp3.xml><?xml version="1.0" encoding="utf-8"?>
<formControlPr xmlns="http://schemas.microsoft.com/office/spreadsheetml/2009/9/main" objectType="Spin" dx="16" fmlaLink="Molienda!$E$17" max="30000" page="10" val="303"/>
</file>

<file path=xl/ctrlProps/ctrlProp4.xml><?xml version="1.0" encoding="utf-8"?>
<formControlPr xmlns="http://schemas.microsoft.com/office/spreadsheetml/2009/9/main" objectType="Scroll" dx="16" fmlaLink="Molienda!$E$29" horiz="1" max="1000" page="10" val="0"/>
</file>

<file path=xl/ctrlProps/ctrlProp5.xml><?xml version="1.0" encoding="utf-8"?>
<formControlPr xmlns="http://schemas.microsoft.com/office/spreadsheetml/2009/9/main" objectType="Scroll" dx="16" fmlaLink="Molienda!$E$30" horiz="1" max="1000" page="10" val="445"/>
</file>

<file path=xl/ctrlProps/ctrlProp6.xml><?xml version="1.0" encoding="utf-8"?>
<formControlPr xmlns="http://schemas.microsoft.com/office/spreadsheetml/2009/9/main" objectType="Scroll" dx="16" fmlaLink="Molienda!$E$26" horiz="1" max="1000" page="10" val="0"/>
</file>

<file path=xl/ctrlProps/ctrlProp7.xml><?xml version="1.0" encoding="utf-8"?>
<formControlPr xmlns="http://schemas.microsoft.com/office/spreadsheetml/2009/9/main" objectType="Scroll" dx="16" fmlaLink="Molienda!$E$27" horiz="1" max="1000" page="10" val="0"/>
</file>

<file path=xl/ctrlProps/ctrlProp8.xml><?xml version="1.0" encoding="utf-8"?>
<formControlPr xmlns="http://schemas.microsoft.com/office/spreadsheetml/2009/9/main" objectType="Spin" dx="16" fmlaLink="$E$10" max="30000" page="10" val="620"/>
</file>

<file path=xl/ctrlProps/ctrlProp9.xml><?xml version="1.0" encoding="utf-8"?>
<formControlPr xmlns="http://schemas.microsoft.com/office/spreadsheetml/2009/9/main" objectType="Spin" dx="16" fmlaLink="$E$12" max="30000" page="10" val="334"/>
</file>

<file path=xl/ctrlProps/ctrlProp10.xml><?xml version="1.0" encoding="utf-8"?>
<formControlPr xmlns="http://schemas.microsoft.com/office/spreadsheetml/2009/9/main" objectType="Spin" dx="16" fmlaLink="$E$14" max="30000" page="10" val="334"/>
</file>

<file path=xl/ctrlProps/ctrlProp11.xml><?xml version="1.0" encoding="utf-8"?>
<formControlPr xmlns="http://schemas.microsoft.com/office/spreadsheetml/2009/9/main" objectType="Spin" dx="16" fmlaLink="$E$17" max="30000" page="10" val="303"/>
</file>

<file path=xl/ctrlProps/ctrlProp12.xml><?xml version="1.0" encoding="utf-8"?>
<formControlPr xmlns="http://schemas.microsoft.com/office/spreadsheetml/2009/9/main" objectType="Spin" dx="16" fmlaLink="$G$20" max="30000" page="10" val="628"/>
</file>

<file path=xl/ctrlProps/ctrlProp13.xml><?xml version="1.0" encoding="utf-8"?>
<formControlPr xmlns="http://schemas.microsoft.com/office/spreadsheetml/2009/9/main" objectType="Spin" dx="16" fmlaLink="$M$10" max="1000" page="10" val="140"/>
</file>

<file path=xl/ctrlProps/ctrlProp14.xml><?xml version="1.0" encoding="utf-8"?>
<formControlPr xmlns="http://schemas.microsoft.com/office/spreadsheetml/2009/9/main" objectType="Spin" dx="16" fmlaLink="$M$15" max="1000" page="10" val="1000"/>
</file>

<file path=xl/ctrlProps/ctrlProp15.xml><?xml version="1.0" encoding="utf-8"?>
<formControlPr xmlns="http://schemas.microsoft.com/office/spreadsheetml/2009/9/main" objectType="Scroll" dx="16" fmlaLink="$L$37" horiz="1" max="1000" page="10" val="0"/>
</file>

<file path=xl/ctrlProps/ctrlProp16.xml><?xml version="1.0" encoding="utf-8"?>
<formControlPr xmlns="http://schemas.microsoft.com/office/spreadsheetml/2009/9/main" objectType="Scroll" dx="16" fmlaLink="$L$38" horiz="1" max="1000" page="10" val="0"/>
</file>

<file path=xl/ctrlProps/ctrlProp17.xml><?xml version="1.0" encoding="utf-8"?>
<formControlPr xmlns="http://schemas.microsoft.com/office/spreadsheetml/2009/9/main" objectType="Scroll" dx="16" fmlaLink="$Q$37" horiz="1" max="1000" page="10" val="0"/>
</file>

<file path=xl/ctrlProps/ctrlProp18.xml><?xml version="1.0" encoding="utf-8"?>
<formControlPr xmlns="http://schemas.microsoft.com/office/spreadsheetml/2009/9/main" objectType="Scroll" dx="16" fmlaLink="$Q$38" horiz="1" max="1000" page="10" val="0"/>
</file>

<file path=xl/ctrlProps/ctrlProp19.xml><?xml version="1.0" encoding="utf-8"?>
<formControlPr xmlns="http://schemas.microsoft.com/office/spreadsheetml/2009/9/main" objectType="Spin" dx="16" fmlaLink="$L$20" inc="10" max="30000" page="10" val="650"/>
</file>

<file path=xl/ctrlProps/ctrlProp20.xml><?xml version="1.0" encoding="utf-8"?>
<formControlPr xmlns="http://schemas.microsoft.com/office/spreadsheetml/2009/9/main" objectType="Spin" dx="16" fmlaLink="$N$24" max="100" page="10" val="100"/>
</file>

<file path=xl/ctrlProps/ctrlProp21.xml><?xml version="1.0" encoding="utf-8"?>
<formControlPr xmlns="http://schemas.microsoft.com/office/spreadsheetml/2009/9/main" objectType="Scroll" dx="16" fmlaLink="$F$32" horiz="1" max="1000" page="10" val="0"/>
</file>

<file path=xl/ctrlProps/ctrlProp22.xml><?xml version="1.0" encoding="utf-8"?>
<formControlPr xmlns="http://schemas.microsoft.com/office/spreadsheetml/2009/9/main" objectType="Scroll" dx="16" fmlaLink="$F$33" horiz="1" max="1000" page="10" val="5"/>
</file>

<file path=xl/ctrlProps/ctrlProp23.xml><?xml version="1.0" encoding="utf-8"?>
<formControlPr xmlns="http://schemas.microsoft.com/office/spreadsheetml/2009/9/main" objectType="Scroll" dx="16" fmlaLink="$F$34" horiz="1" max="1000" page="10" val="5"/>
</file>

<file path=xl/ctrlProps/ctrlProp24.xml><?xml version="1.0" encoding="utf-8"?>
<formControlPr xmlns="http://schemas.microsoft.com/office/spreadsheetml/2009/9/main" objectType="Spin" dx="16" fmlaLink="$G$24" max="30000" page="10" val="13"/>
</file>

<file path=xl/ctrlProps/ctrlProp25.xml><?xml version="1.0" encoding="utf-8"?>
<formControlPr xmlns="http://schemas.microsoft.com/office/spreadsheetml/2009/9/main" objectType="Scroll" dx="16" fmlaLink="$E$29" horiz="1" max="1000" page="10" val="0"/>
</file>

<file path=xl/ctrlProps/ctrlProp26.xml><?xml version="1.0" encoding="utf-8"?>
<formControlPr xmlns="http://schemas.microsoft.com/office/spreadsheetml/2009/9/main" objectType="Scroll" dx="16" fmlaLink="$E$30" horiz="1" max="1000" page="10" val="445"/>
</file>

<file path=xl/ctrlProps/ctrlProp27.xml><?xml version="1.0" encoding="utf-8"?>
<formControlPr xmlns="http://schemas.microsoft.com/office/spreadsheetml/2009/9/main" objectType="Spin" dx="16" fmlaLink="$L$28" inc="10" max="30000" page="10" val="0"/>
</file>

<file path=xl/ctrlProps/ctrlProp28.xml><?xml version="1.0" encoding="utf-8"?>
<formControlPr xmlns="http://schemas.microsoft.com/office/spreadsheetml/2009/9/main" objectType="Scroll" dx="16" fmlaLink="$M$30" horiz="1" max="1000" page="10" val="0"/>
</file>

<file path=xl/ctrlProps/ctrlProp29.xml><?xml version="1.0" encoding="utf-8"?>
<formControlPr xmlns="http://schemas.microsoft.com/office/spreadsheetml/2009/9/main" objectType="Scroll" dx="16" fmlaLink="$E$26" horiz="1" max="1000" page="10" val="0"/>
</file>

<file path=xl/ctrlProps/ctrlProp30.xml><?xml version="1.0" encoding="utf-8"?>
<formControlPr xmlns="http://schemas.microsoft.com/office/spreadsheetml/2009/9/main" objectType="Scroll" dx="16" fmlaLink="$E$27" horiz="1" max="1000" page="10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381000</xdr:colOff>
          <xdr:row>8</xdr:row>
          <xdr:rowOff>19050</xdr:rowOff>
        </xdr:from>
        <xdr:to>
          <xdr:col>7</xdr:col>
          <xdr:colOff>638175</xdr:colOff>
          <xdr:row>9</xdr:row>
          <xdr:rowOff>171450</xdr:rowOff>
        </xdr:to>
        <xdr:sp macro="" textlink="">
          <xdr:nvSpPr>
            <xdr:cNvPr id="5121" name="Spinner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381000</xdr:colOff>
          <xdr:row>10</xdr:row>
          <xdr:rowOff>19050</xdr:rowOff>
        </xdr:from>
        <xdr:to>
          <xdr:col>7</xdr:col>
          <xdr:colOff>638175</xdr:colOff>
          <xdr:row>11</xdr:row>
          <xdr:rowOff>171450</xdr:rowOff>
        </xdr:to>
        <xdr:sp macro="" textlink="">
          <xdr:nvSpPr>
            <xdr:cNvPr id="5122" name="Spinner 2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381000</xdr:colOff>
          <xdr:row>19</xdr:row>
          <xdr:rowOff>19050</xdr:rowOff>
        </xdr:from>
        <xdr:to>
          <xdr:col>7</xdr:col>
          <xdr:colOff>638175</xdr:colOff>
          <xdr:row>20</xdr:row>
          <xdr:rowOff>171450</xdr:rowOff>
        </xdr:to>
        <xdr:sp macro="" textlink="">
          <xdr:nvSpPr>
            <xdr:cNvPr id="5124" name="Spinner 4" hidden="1">
              <a:extLst>
                <a:ext uri="{63B3BB69-23CF-44E3-9099-C40C66FF867C}">
                  <a14:compatExt spid="_x0000_s51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</xdr:colOff>
          <xdr:row>22</xdr:row>
          <xdr:rowOff>28575</xdr:rowOff>
        </xdr:from>
        <xdr:to>
          <xdr:col>5</xdr:col>
          <xdr:colOff>609600</xdr:colOff>
          <xdr:row>22</xdr:row>
          <xdr:rowOff>180975</xdr:rowOff>
        </xdr:to>
        <xdr:sp macro="" textlink="">
          <xdr:nvSpPr>
            <xdr:cNvPr id="5125" name="Scroll Bar 5" hidden="1">
              <a:extLst>
                <a:ext uri="{63B3BB69-23CF-44E3-9099-C40C66FF867C}">
                  <a14:compatExt spid="_x0000_s51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</xdr:colOff>
          <xdr:row>23</xdr:row>
          <xdr:rowOff>28575</xdr:rowOff>
        </xdr:from>
        <xdr:to>
          <xdr:col>5</xdr:col>
          <xdr:colOff>609600</xdr:colOff>
          <xdr:row>23</xdr:row>
          <xdr:rowOff>180975</xdr:rowOff>
        </xdr:to>
        <xdr:sp macro="" textlink="">
          <xdr:nvSpPr>
            <xdr:cNvPr id="5126" name="Scroll Bar 6" hidden="1">
              <a:extLst>
                <a:ext uri="{63B3BB69-23CF-44E3-9099-C40C66FF867C}">
                  <a14:compatExt spid="_x0000_s51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</xdr:colOff>
          <xdr:row>13</xdr:row>
          <xdr:rowOff>28575</xdr:rowOff>
        </xdr:from>
        <xdr:to>
          <xdr:col>5</xdr:col>
          <xdr:colOff>609600</xdr:colOff>
          <xdr:row>13</xdr:row>
          <xdr:rowOff>180975</xdr:rowOff>
        </xdr:to>
        <xdr:sp macro="" textlink="">
          <xdr:nvSpPr>
            <xdr:cNvPr id="5127" name="Scroll Bar 7" hidden="1">
              <a:extLst>
                <a:ext uri="{63B3BB69-23CF-44E3-9099-C40C66FF867C}">
                  <a14:compatExt spid="_x0000_s51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</xdr:colOff>
          <xdr:row>14</xdr:row>
          <xdr:rowOff>28575</xdr:rowOff>
        </xdr:from>
        <xdr:to>
          <xdr:col>5</xdr:col>
          <xdr:colOff>609600</xdr:colOff>
          <xdr:row>14</xdr:row>
          <xdr:rowOff>180975</xdr:rowOff>
        </xdr:to>
        <xdr:sp macro="" textlink="">
          <xdr:nvSpPr>
            <xdr:cNvPr id="5128" name="Scroll Bar 8" hidden="1">
              <a:extLst>
                <a:ext uri="{63B3BB69-23CF-44E3-9099-C40C66FF867C}">
                  <a14:compatExt spid="_x0000_s51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16</xdr:col>
      <xdr:colOff>247913</xdr:colOff>
      <xdr:row>1</xdr:row>
      <xdr:rowOff>87619</xdr:rowOff>
    </xdr:from>
    <xdr:to>
      <xdr:col>17</xdr:col>
      <xdr:colOff>50006</xdr:colOff>
      <xdr:row>2</xdr:row>
      <xdr:rowOff>196850</xdr:rowOff>
    </xdr:to>
    <xdr:pic>
      <xdr:nvPicPr>
        <xdr:cNvPr id="11" name="10 Imagen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75444" t="29822" r="19445" b="61584"/>
        <a:stretch/>
      </xdr:blipFill>
      <xdr:spPr>
        <a:xfrm>
          <a:off x="10892101" y="159057"/>
          <a:ext cx="445030" cy="4187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161924</xdr:colOff>
      <xdr:row>2</xdr:row>
      <xdr:rowOff>2952</xdr:rowOff>
    </xdr:from>
    <xdr:to>
      <xdr:col>16</xdr:col>
      <xdr:colOff>609599</xdr:colOff>
      <xdr:row>4</xdr:row>
      <xdr:rowOff>38100</xdr:rowOff>
    </xdr:to>
    <xdr:pic>
      <xdr:nvPicPr>
        <xdr:cNvPr id="2" name="1 Imagen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75444" t="29822" r="19445" b="61584"/>
        <a:stretch/>
      </xdr:blipFill>
      <xdr:spPr>
        <a:xfrm>
          <a:off x="9705974" y="193452"/>
          <a:ext cx="447675" cy="416148"/>
        </a:xfrm>
        <a:prstGeom prst="rect">
          <a:avLst/>
        </a:prstGeom>
      </xdr:spPr>
    </xdr:pic>
    <xdr:clientData/>
  </xdr:twoCellAnchor>
  <xdr:twoCellAnchor>
    <xdr:from>
      <xdr:col>12</xdr:col>
      <xdr:colOff>266700</xdr:colOff>
      <xdr:row>11</xdr:row>
      <xdr:rowOff>57150</xdr:rowOff>
    </xdr:from>
    <xdr:to>
      <xdr:col>13</xdr:col>
      <xdr:colOff>457200</xdr:colOff>
      <xdr:row>16</xdr:row>
      <xdr:rowOff>130683</xdr:rowOff>
    </xdr:to>
    <xdr:sp macro="" textlink="">
      <xdr:nvSpPr>
        <xdr:cNvPr id="3" name="2 Flecha circular"/>
        <xdr:cNvSpPr/>
      </xdr:nvSpPr>
      <xdr:spPr>
        <a:xfrm rot="5400000">
          <a:off x="6683121" y="1641729"/>
          <a:ext cx="978408" cy="971550"/>
        </a:xfrm>
        <a:prstGeom prst="circular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200025</xdr:colOff>
      <xdr:row>8</xdr:row>
      <xdr:rowOff>57149</xdr:rowOff>
    </xdr:from>
    <xdr:to>
      <xdr:col>15</xdr:col>
      <xdr:colOff>180975</xdr:colOff>
      <xdr:row>11</xdr:row>
      <xdr:rowOff>9525</xdr:rowOff>
    </xdr:to>
    <xdr:sp macro="" textlink="$T$13">
      <xdr:nvSpPr>
        <xdr:cNvPr id="7" name="6 Rectángulo"/>
        <xdr:cNvSpPr/>
      </xdr:nvSpPr>
      <xdr:spPr>
        <a:xfrm>
          <a:off x="8181975" y="1190624"/>
          <a:ext cx="762000" cy="40005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6AC79D0-2F62-4A89-8CFD-AD1BBF58DA35}" type="TxLink">
            <a:rPr lang="es-AR" sz="9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Poroto Soja 650Tn</a:t>
          </a:fld>
          <a:endParaRPr lang="es-AR" sz="900"/>
        </a:p>
      </xdr:txBody>
    </xdr:sp>
    <xdr:clientData/>
  </xdr:twoCellAnchor>
  <xdr:twoCellAnchor>
    <xdr:from>
      <xdr:col>15</xdr:col>
      <xdr:colOff>609599</xdr:colOff>
      <xdr:row>12</xdr:row>
      <xdr:rowOff>152399</xdr:rowOff>
    </xdr:from>
    <xdr:to>
      <xdr:col>16</xdr:col>
      <xdr:colOff>714375</xdr:colOff>
      <xdr:row>14</xdr:row>
      <xdr:rowOff>114300</xdr:rowOff>
    </xdr:to>
    <xdr:sp macro="" textlink="$T$14">
      <xdr:nvSpPr>
        <xdr:cNvPr id="25" name="24 Rectángulo"/>
        <xdr:cNvSpPr/>
      </xdr:nvSpPr>
      <xdr:spPr>
        <a:xfrm>
          <a:off x="9372599" y="1914524"/>
          <a:ext cx="885826" cy="32385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76E2193-4D00-4648-AF08-F59BE7FAEC7C}" type="TxLink">
            <a:rPr lang="es-AR" sz="9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Mermas 25Tn</a:t>
          </a:fld>
          <a:endParaRPr lang="es-AR" sz="900"/>
        </a:p>
      </xdr:txBody>
    </xdr:sp>
    <xdr:clientData/>
  </xdr:twoCellAnchor>
  <xdr:twoCellAnchor>
    <xdr:from>
      <xdr:col>14</xdr:col>
      <xdr:colOff>190499</xdr:colOff>
      <xdr:row>16</xdr:row>
      <xdr:rowOff>38100</xdr:rowOff>
    </xdr:from>
    <xdr:to>
      <xdr:col>15</xdr:col>
      <xdr:colOff>257175</xdr:colOff>
      <xdr:row>18</xdr:row>
      <xdr:rowOff>9526</xdr:rowOff>
    </xdr:to>
    <xdr:sp macro="" textlink="$T$15">
      <xdr:nvSpPr>
        <xdr:cNvPr id="26" name="25 Rectángulo"/>
        <xdr:cNvSpPr/>
      </xdr:nvSpPr>
      <xdr:spPr>
        <a:xfrm>
          <a:off x="8172449" y="2524125"/>
          <a:ext cx="847726" cy="3333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8A772A3A-BA34-4A33-A3E4-BC867F2CD2D0}" type="TxLink">
            <a:rPr lang="es-AR" sz="9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Aceite 87Tn</a:t>
          </a:fld>
          <a:endParaRPr lang="es-AR" sz="900"/>
        </a:p>
      </xdr:txBody>
    </xdr:sp>
    <xdr:clientData/>
  </xdr:twoCellAnchor>
  <xdr:twoCellAnchor>
    <xdr:from>
      <xdr:col>14</xdr:col>
      <xdr:colOff>371474</xdr:colOff>
      <xdr:row>12</xdr:row>
      <xdr:rowOff>104774</xdr:rowOff>
    </xdr:from>
    <xdr:to>
      <xdr:col>14</xdr:col>
      <xdr:colOff>781049</xdr:colOff>
      <xdr:row>14</xdr:row>
      <xdr:rowOff>133349</xdr:rowOff>
    </xdr:to>
    <xdr:sp macro="" textlink="">
      <xdr:nvSpPr>
        <xdr:cNvPr id="8" name="7 Sol"/>
        <xdr:cNvSpPr/>
      </xdr:nvSpPr>
      <xdr:spPr>
        <a:xfrm>
          <a:off x="8353424" y="1866899"/>
          <a:ext cx="409575" cy="390525"/>
        </a:xfrm>
        <a:prstGeom prst="su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15</xdr:col>
      <xdr:colOff>333373</xdr:colOff>
      <xdr:row>16</xdr:row>
      <xdr:rowOff>38100</xdr:rowOff>
    </xdr:from>
    <xdr:to>
      <xdr:col>16</xdr:col>
      <xdr:colOff>523874</xdr:colOff>
      <xdr:row>18</xdr:row>
      <xdr:rowOff>19050</xdr:rowOff>
    </xdr:to>
    <xdr:sp macro="" textlink="$T$16">
      <xdr:nvSpPr>
        <xdr:cNvPr id="28" name="27 Rectángulo"/>
        <xdr:cNvSpPr/>
      </xdr:nvSpPr>
      <xdr:spPr>
        <a:xfrm>
          <a:off x="9096373" y="2524125"/>
          <a:ext cx="971551" cy="3429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5F5C28-58C2-4D45-B123-DB7DFE06C565}" type="TxLink">
            <a:rPr lang="es-AR" sz="9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Harina 537Tn</a:t>
          </a:fld>
          <a:endParaRPr lang="es-AR" sz="900"/>
        </a:p>
      </xdr:txBody>
    </xdr:sp>
    <xdr:clientData/>
  </xdr:twoCellAnchor>
  <xdr:twoCellAnchor>
    <xdr:from>
      <xdr:col>14</xdr:col>
      <xdr:colOff>771525</xdr:colOff>
      <xdr:row>18</xdr:row>
      <xdr:rowOff>85725</xdr:rowOff>
    </xdr:from>
    <xdr:to>
      <xdr:col>16</xdr:col>
      <xdr:colOff>314325</xdr:colOff>
      <xdr:row>19</xdr:row>
      <xdr:rowOff>142875</xdr:rowOff>
    </xdr:to>
    <xdr:sp macro="" textlink="$T$17">
      <xdr:nvSpPr>
        <xdr:cNvPr id="29" name="28 Rectángulo"/>
        <xdr:cNvSpPr/>
      </xdr:nvSpPr>
      <xdr:spPr>
        <a:xfrm>
          <a:off x="8753475" y="2933700"/>
          <a:ext cx="1104900" cy="2381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8375C182-3F93-4410-B456-150279C84185}" type="TxLink">
            <a:rPr lang="es-AR" sz="9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Pellet 6% 537Tn</a:t>
          </a:fld>
          <a:endParaRPr lang="es-AR" sz="900"/>
        </a:p>
      </xdr:txBody>
    </xdr:sp>
    <xdr:clientData/>
  </xdr:twoCellAnchor>
  <xdr:twoCellAnchor>
    <xdr:from>
      <xdr:col>14</xdr:col>
      <xdr:colOff>581025</xdr:colOff>
      <xdr:row>20</xdr:row>
      <xdr:rowOff>47625</xdr:rowOff>
    </xdr:from>
    <xdr:to>
      <xdr:col>16</xdr:col>
      <xdr:colOff>142875</xdr:colOff>
      <xdr:row>22</xdr:row>
      <xdr:rowOff>9525</xdr:rowOff>
    </xdr:to>
    <xdr:sp macro="" textlink="$T$18">
      <xdr:nvSpPr>
        <xdr:cNvPr id="30" name="29 Rectángulo"/>
        <xdr:cNvSpPr/>
      </xdr:nvSpPr>
      <xdr:spPr>
        <a:xfrm>
          <a:off x="8562975" y="3257550"/>
          <a:ext cx="1123950" cy="228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D8C3563-7963-4794-86CC-A93015158515}" type="TxLink">
            <a:rPr lang="es-AR" sz="9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Harina 0Tn</a:t>
          </a:fld>
          <a:endParaRPr lang="es-AR" sz="900"/>
        </a:p>
      </xdr:txBody>
    </xdr:sp>
    <xdr:clientData/>
  </xdr:twoCellAnchor>
  <xdr:twoCellAnchor>
    <xdr:from>
      <xdr:col>14</xdr:col>
      <xdr:colOff>576262</xdr:colOff>
      <xdr:row>11</xdr:row>
      <xdr:rowOff>9525</xdr:rowOff>
    </xdr:from>
    <xdr:to>
      <xdr:col>14</xdr:col>
      <xdr:colOff>581025</xdr:colOff>
      <xdr:row>12</xdr:row>
      <xdr:rowOff>104774</xdr:rowOff>
    </xdr:to>
    <xdr:cxnSp macro="">
      <xdr:nvCxnSpPr>
        <xdr:cNvPr id="10" name="9 Conector recto de flecha"/>
        <xdr:cNvCxnSpPr>
          <a:stCxn id="7" idx="2"/>
          <a:endCxn id="8" idx="0"/>
        </xdr:cNvCxnSpPr>
      </xdr:nvCxnSpPr>
      <xdr:spPr>
        <a:xfrm flipH="1">
          <a:off x="8558212" y="1590675"/>
          <a:ext cx="4763" cy="276224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781049</xdr:colOff>
      <xdr:row>13</xdr:row>
      <xdr:rowOff>119062</xdr:rowOff>
    </xdr:from>
    <xdr:to>
      <xdr:col>15</xdr:col>
      <xdr:colOff>609599</xdr:colOff>
      <xdr:row>13</xdr:row>
      <xdr:rowOff>133350</xdr:rowOff>
    </xdr:to>
    <xdr:cxnSp macro="">
      <xdr:nvCxnSpPr>
        <xdr:cNvPr id="33" name="32 Conector recto de flecha"/>
        <xdr:cNvCxnSpPr>
          <a:stCxn id="8" idx="3"/>
          <a:endCxn id="25" idx="1"/>
        </xdr:cNvCxnSpPr>
      </xdr:nvCxnSpPr>
      <xdr:spPr>
        <a:xfrm>
          <a:off x="8762999" y="2062162"/>
          <a:ext cx="609600" cy="14288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576262</xdr:colOff>
      <xdr:row>14</xdr:row>
      <xdr:rowOff>133349</xdr:rowOff>
    </xdr:from>
    <xdr:to>
      <xdr:col>14</xdr:col>
      <xdr:colOff>614362</xdr:colOff>
      <xdr:row>16</xdr:row>
      <xdr:rowOff>38100</xdr:rowOff>
    </xdr:to>
    <xdr:cxnSp macro="">
      <xdr:nvCxnSpPr>
        <xdr:cNvPr id="36" name="35 Conector recto de flecha"/>
        <xdr:cNvCxnSpPr>
          <a:stCxn id="8" idx="2"/>
          <a:endCxn id="26" idx="0"/>
        </xdr:cNvCxnSpPr>
      </xdr:nvCxnSpPr>
      <xdr:spPr>
        <a:xfrm>
          <a:off x="8558212" y="2257424"/>
          <a:ext cx="38100" cy="266701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576262</xdr:colOff>
      <xdr:row>14</xdr:row>
      <xdr:rowOff>133349</xdr:rowOff>
    </xdr:from>
    <xdr:to>
      <xdr:col>16</xdr:col>
      <xdr:colOff>38099</xdr:colOff>
      <xdr:row>16</xdr:row>
      <xdr:rowOff>38100</xdr:rowOff>
    </xdr:to>
    <xdr:cxnSp macro="">
      <xdr:nvCxnSpPr>
        <xdr:cNvPr id="39" name="38 Conector recto de flecha"/>
        <xdr:cNvCxnSpPr>
          <a:stCxn id="8" idx="2"/>
          <a:endCxn id="28" idx="0"/>
        </xdr:cNvCxnSpPr>
      </xdr:nvCxnSpPr>
      <xdr:spPr>
        <a:xfrm>
          <a:off x="8558212" y="2257424"/>
          <a:ext cx="1023937" cy="266701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314325</xdr:colOff>
      <xdr:row>17</xdr:row>
      <xdr:rowOff>28575</xdr:rowOff>
    </xdr:from>
    <xdr:to>
      <xdr:col>16</xdr:col>
      <xdr:colOff>523874</xdr:colOff>
      <xdr:row>19</xdr:row>
      <xdr:rowOff>23813</xdr:rowOff>
    </xdr:to>
    <xdr:cxnSp macro="">
      <xdr:nvCxnSpPr>
        <xdr:cNvPr id="18" name="17 Conector angular"/>
        <xdr:cNvCxnSpPr>
          <a:stCxn id="28" idx="3"/>
          <a:endCxn id="29" idx="3"/>
        </xdr:cNvCxnSpPr>
      </xdr:nvCxnSpPr>
      <xdr:spPr>
        <a:xfrm flipH="1">
          <a:off x="9858375" y="2695575"/>
          <a:ext cx="209549" cy="357188"/>
        </a:xfrm>
        <a:prstGeom prst="bentConnector3">
          <a:avLst>
            <a:gd name="adj1" fmla="val -109091"/>
          </a:avLst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142875</xdr:colOff>
      <xdr:row>17</xdr:row>
      <xdr:rowOff>28575</xdr:rowOff>
    </xdr:from>
    <xdr:to>
      <xdr:col>16</xdr:col>
      <xdr:colOff>523874</xdr:colOff>
      <xdr:row>20</xdr:row>
      <xdr:rowOff>161925</xdr:rowOff>
    </xdr:to>
    <xdr:cxnSp macro="">
      <xdr:nvCxnSpPr>
        <xdr:cNvPr id="46" name="45 Conector angular"/>
        <xdr:cNvCxnSpPr>
          <a:stCxn id="28" idx="3"/>
          <a:endCxn id="30" idx="3"/>
        </xdr:cNvCxnSpPr>
      </xdr:nvCxnSpPr>
      <xdr:spPr>
        <a:xfrm flipH="1">
          <a:off x="9686925" y="2695575"/>
          <a:ext cx="380999" cy="676275"/>
        </a:xfrm>
        <a:prstGeom prst="bentConnector3">
          <a:avLst>
            <a:gd name="adj1" fmla="val -60000"/>
          </a:avLst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38100</xdr:colOff>
      <xdr:row>23</xdr:row>
      <xdr:rowOff>28575</xdr:rowOff>
    </xdr:from>
    <xdr:to>
      <xdr:col>17</xdr:col>
      <xdr:colOff>28575</xdr:colOff>
      <xdr:row>34</xdr:row>
      <xdr:rowOff>57151</xdr:rowOff>
    </xdr:to>
    <xdr:graphicFrame macro="">
      <xdr:nvGraphicFramePr>
        <xdr:cNvPr id="58" name="57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285750</xdr:colOff>
      <xdr:row>19</xdr:row>
      <xdr:rowOff>66675</xdr:rowOff>
    </xdr:from>
    <xdr:to>
      <xdr:col>13</xdr:col>
      <xdr:colOff>476250</xdr:colOff>
      <xdr:row>25</xdr:row>
      <xdr:rowOff>130683</xdr:rowOff>
    </xdr:to>
    <xdr:sp macro="" textlink="">
      <xdr:nvSpPr>
        <xdr:cNvPr id="38" name="37 Flecha circular"/>
        <xdr:cNvSpPr/>
      </xdr:nvSpPr>
      <xdr:spPr>
        <a:xfrm rot="5400000">
          <a:off x="7930896" y="3022854"/>
          <a:ext cx="978408" cy="971550"/>
        </a:xfrm>
        <a:prstGeom prst="circular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>
            <a:solidFill>
              <a:schemeClr val="tx1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390525</xdr:colOff>
          <xdr:row>9</xdr:row>
          <xdr:rowOff>19050</xdr:rowOff>
        </xdr:from>
        <xdr:to>
          <xdr:col>7</xdr:col>
          <xdr:colOff>752475</xdr:colOff>
          <xdr:row>10</xdr:row>
          <xdr:rowOff>171450</xdr:rowOff>
        </xdr:to>
        <xdr:sp macro="" textlink="">
          <xdr:nvSpPr>
            <xdr:cNvPr id="2049" name="Spinner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390525</xdr:colOff>
          <xdr:row>11</xdr:row>
          <xdr:rowOff>19050</xdr:rowOff>
        </xdr:from>
        <xdr:to>
          <xdr:col>7</xdr:col>
          <xdr:colOff>752475</xdr:colOff>
          <xdr:row>12</xdr:row>
          <xdr:rowOff>171450</xdr:rowOff>
        </xdr:to>
        <xdr:sp macro="" textlink="">
          <xdr:nvSpPr>
            <xdr:cNvPr id="2050" name="Spinner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400050</xdr:colOff>
          <xdr:row>13</xdr:row>
          <xdr:rowOff>19050</xdr:rowOff>
        </xdr:from>
        <xdr:to>
          <xdr:col>7</xdr:col>
          <xdr:colOff>762000</xdr:colOff>
          <xdr:row>14</xdr:row>
          <xdr:rowOff>171450</xdr:rowOff>
        </xdr:to>
        <xdr:sp macro="" textlink="">
          <xdr:nvSpPr>
            <xdr:cNvPr id="2051" name="Spinner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390525</xdr:colOff>
          <xdr:row>16</xdr:row>
          <xdr:rowOff>19050</xdr:rowOff>
        </xdr:from>
        <xdr:to>
          <xdr:col>7</xdr:col>
          <xdr:colOff>752475</xdr:colOff>
          <xdr:row>17</xdr:row>
          <xdr:rowOff>171450</xdr:rowOff>
        </xdr:to>
        <xdr:sp macro="" textlink="">
          <xdr:nvSpPr>
            <xdr:cNvPr id="2054" name="Spinner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390525</xdr:colOff>
          <xdr:row>19</xdr:row>
          <xdr:rowOff>19050</xdr:rowOff>
        </xdr:from>
        <xdr:to>
          <xdr:col>5</xdr:col>
          <xdr:colOff>752475</xdr:colOff>
          <xdr:row>20</xdr:row>
          <xdr:rowOff>171450</xdr:rowOff>
        </xdr:to>
        <xdr:sp macro="" textlink="">
          <xdr:nvSpPr>
            <xdr:cNvPr id="2055" name="Spinner 7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123825</xdr:colOff>
          <xdr:row>9</xdr:row>
          <xdr:rowOff>57150</xdr:rowOff>
        </xdr:from>
        <xdr:to>
          <xdr:col>12</xdr:col>
          <xdr:colOff>666750</xdr:colOff>
          <xdr:row>12</xdr:row>
          <xdr:rowOff>104775</xdr:rowOff>
        </xdr:to>
        <xdr:sp macro="" textlink="">
          <xdr:nvSpPr>
            <xdr:cNvPr id="2056" name="Spinner 8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123825</xdr:colOff>
          <xdr:row>14</xdr:row>
          <xdr:rowOff>57150</xdr:rowOff>
        </xdr:from>
        <xdr:to>
          <xdr:col>12</xdr:col>
          <xdr:colOff>666750</xdr:colOff>
          <xdr:row>17</xdr:row>
          <xdr:rowOff>104775</xdr:rowOff>
        </xdr:to>
        <xdr:sp macro="" textlink="">
          <xdr:nvSpPr>
            <xdr:cNvPr id="2060" name="Spinner 12" hidden="1">
              <a:extLst>
                <a:ext uri="{63B3BB69-23CF-44E3-9099-C40C66FF867C}">
                  <a14:compatExt spid="_x0000_s20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95250</xdr:colOff>
          <xdr:row>36</xdr:row>
          <xdr:rowOff>28575</xdr:rowOff>
        </xdr:from>
        <xdr:to>
          <xdr:col>11</xdr:col>
          <xdr:colOff>704850</xdr:colOff>
          <xdr:row>36</xdr:row>
          <xdr:rowOff>180975</xdr:rowOff>
        </xdr:to>
        <xdr:sp macro="" textlink="">
          <xdr:nvSpPr>
            <xdr:cNvPr id="2061" name="Scroll Bar 13" hidden="1">
              <a:extLst>
                <a:ext uri="{63B3BB69-23CF-44E3-9099-C40C66FF867C}">
                  <a14:compatExt spid="_x0000_s20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95250</xdr:colOff>
          <xdr:row>37</xdr:row>
          <xdr:rowOff>28575</xdr:rowOff>
        </xdr:from>
        <xdr:to>
          <xdr:col>11</xdr:col>
          <xdr:colOff>704850</xdr:colOff>
          <xdr:row>37</xdr:row>
          <xdr:rowOff>180975</xdr:rowOff>
        </xdr:to>
        <xdr:sp macro="" textlink="">
          <xdr:nvSpPr>
            <xdr:cNvPr id="2062" name="Scroll Bar 14" hidden="1">
              <a:extLst>
                <a:ext uri="{63B3BB69-23CF-44E3-9099-C40C66FF867C}">
                  <a14:compatExt spid="_x0000_s20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95250</xdr:colOff>
          <xdr:row>36</xdr:row>
          <xdr:rowOff>28575</xdr:rowOff>
        </xdr:from>
        <xdr:to>
          <xdr:col>16</xdr:col>
          <xdr:colOff>704850</xdr:colOff>
          <xdr:row>36</xdr:row>
          <xdr:rowOff>180975</xdr:rowOff>
        </xdr:to>
        <xdr:sp macro="" textlink="">
          <xdr:nvSpPr>
            <xdr:cNvPr id="2063" name="Scroll Bar 15" hidden="1">
              <a:extLst>
                <a:ext uri="{63B3BB69-23CF-44E3-9099-C40C66FF867C}">
                  <a14:compatExt spid="_x0000_s20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95250</xdr:colOff>
          <xdr:row>37</xdr:row>
          <xdr:rowOff>28575</xdr:rowOff>
        </xdr:from>
        <xdr:to>
          <xdr:col>16</xdr:col>
          <xdr:colOff>704850</xdr:colOff>
          <xdr:row>37</xdr:row>
          <xdr:rowOff>180975</xdr:rowOff>
        </xdr:to>
        <xdr:sp macro="" textlink="">
          <xdr:nvSpPr>
            <xdr:cNvPr id="2064" name="Scroll Bar 16" hidden="1">
              <a:extLst>
                <a:ext uri="{63B3BB69-23CF-44E3-9099-C40C66FF867C}">
                  <a14:compatExt spid="_x0000_s20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390525</xdr:colOff>
          <xdr:row>19</xdr:row>
          <xdr:rowOff>19050</xdr:rowOff>
        </xdr:from>
        <xdr:to>
          <xdr:col>12</xdr:col>
          <xdr:colOff>752475</xdr:colOff>
          <xdr:row>20</xdr:row>
          <xdr:rowOff>171450</xdr:rowOff>
        </xdr:to>
        <xdr:sp macro="" textlink="">
          <xdr:nvSpPr>
            <xdr:cNvPr id="2065" name="Spinner 17" hidden="1">
              <a:extLst>
                <a:ext uri="{63B3BB69-23CF-44E3-9099-C40C66FF867C}">
                  <a14:compatExt spid="_x0000_s20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390525</xdr:colOff>
          <xdr:row>23</xdr:row>
          <xdr:rowOff>19050</xdr:rowOff>
        </xdr:from>
        <xdr:to>
          <xdr:col>12</xdr:col>
          <xdr:colOff>752475</xdr:colOff>
          <xdr:row>24</xdr:row>
          <xdr:rowOff>171450</xdr:rowOff>
        </xdr:to>
        <xdr:sp macro="" textlink="">
          <xdr:nvSpPr>
            <xdr:cNvPr id="2066" name="Spinner 18" hidden="1">
              <a:extLst>
                <a:ext uri="{63B3BB69-23CF-44E3-9099-C40C66FF867C}">
                  <a14:compatExt spid="_x0000_s20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</xdr:colOff>
          <xdr:row>31</xdr:row>
          <xdr:rowOff>9525</xdr:rowOff>
        </xdr:from>
        <xdr:to>
          <xdr:col>5</xdr:col>
          <xdr:colOff>704850</xdr:colOff>
          <xdr:row>31</xdr:row>
          <xdr:rowOff>161925</xdr:rowOff>
        </xdr:to>
        <xdr:sp macro="" textlink="">
          <xdr:nvSpPr>
            <xdr:cNvPr id="2067" name="Scroll Bar 19" hidden="1">
              <a:extLst>
                <a:ext uri="{63B3BB69-23CF-44E3-9099-C40C66FF867C}">
                  <a14:compatExt spid="_x0000_s20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</xdr:colOff>
          <xdr:row>32</xdr:row>
          <xdr:rowOff>9525</xdr:rowOff>
        </xdr:from>
        <xdr:to>
          <xdr:col>5</xdr:col>
          <xdr:colOff>704850</xdr:colOff>
          <xdr:row>32</xdr:row>
          <xdr:rowOff>161925</xdr:rowOff>
        </xdr:to>
        <xdr:sp macro="" textlink="">
          <xdr:nvSpPr>
            <xdr:cNvPr id="2068" name="Scroll Bar 20" hidden="1">
              <a:extLst>
                <a:ext uri="{63B3BB69-23CF-44E3-9099-C40C66FF867C}">
                  <a14:compatExt spid="_x0000_s20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</xdr:colOff>
          <xdr:row>33</xdr:row>
          <xdr:rowOff>9525</xdr:rowOff>
        </xdr:from>
        <xdr:to>
          <xdr:col>5</xdr:col>
          <xdr:colOff>704850</xdr:colOff>
          <xdr:row>33</xdr:row>
          <xdr:rowOff>161925</xdr:rowOff>
        </xdr:to>
        <xdr:sp macro="" textlink="">
          <xdr:nvSpPr>
            <xdr:cNvPr id="2069" name="Scroll Bar 21" hidden="1">
              <a:extLst>
                <a:ext uri="{63B3BB69-23CF-44E3-9099-C40C66FF867C}">
                  <a14:compatExt spid="_x0000_s20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514350</xdr:colOff>
          <xdr:row>23</xdr:row>
          <xdr:rowOff>19050</xdr:rowOff>
        </xdr:from>
        <xdr:to>
          <xdr:col>7</xdr:col>
          <xdr:colOff>666750</xdr:colOff>
          <xdr:row>23</xdr:row>
          <xdr:rowOff>180975</xdr:rowOff>
        </xdr:to>
        <xdr:sp macro="" textlink="">
          <xdr:nvSpPr>
            <xdr:cNvPr id="2071" name="Spinner 23" hidden="1">
              <a:extLst>
                <a:ext uri="{63B3BB69-23CF-44E3-9099-C40C66FF867C}">
                  <a14:compatExt spid="_x0000_s20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</xdr:colOff>
          <xdr:row>28</xdr:row>
          <xdr:rowOff>19050</xdr:rowOff>
        </xdr:from>
        <xdr:to>
          <xdr:col>5</xdr:col>
          <xdr:colOff>704850</xdr:colOff>
          <xdr:row>28</xdr:row>
          <xdr:rowOff>171450</xdr:rowOff>
        </xdr:to>
        <xdr:sp macro="" textlink="">
          <xdr:nvSpPr>
            <xdr:cNvPr id="2072" name="Scroll Bar 24" hidden="1">
              <a:extLst>
                <a:ext uri="{63B3BB69-23CF-44E3-9099-C40C66FF867C}">
                  <a14:compatExt spid="_x0000_s20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</xdr:colOff>
          <xdr:row>29</xdr:row>
          <xdr:rowOff>19050</xdr:rowOff>
        </xdr:from>
        <xdr:to>
          <xdr:col>5</xdr:col>
          <xdr:colOff>704850</xdr:colOff>
          <xdr:row>29</xdr:row>
          <xdr:rowOff>171450</xdr:rowOff>
        </xdr:to>
        <xdr:sp macro="" textlink="">
          <xdr:nvSpPr>
            <xdr:cNvPr id="2073" name="Scroll Bar 25" hidden="1">
              <a:extLst>
                <a:ext uri="{63B3BB69-23CF-44E3-9099-C40C66FF867C}">
                  <a14:compatExt spid="_x0000_s20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390525</xdr:colOff>
          <xdr:row>27</xdr:row>
          <xdr:rowOff>19050</xdr:rowOff>
        </xdr:from>
        <xdr:to>
          <xdr:col>12</xdr:col>
          <xdr:colOff>752475</xdr:colOff>
          <xdr:row>28</xdr:row>
          <xdr:rowOff>171450</xdr:rowOff>
        </xdr:to>
        <xdr:sp macro="" textlink="">
          <xdr:nvSpPr>
            <xdr:cNvPr id="2075" name="Spinner 27" hidden="1">
              <a:extLst>
                <a:ext uri="{63B3BB69-23CF-44E3-9099-C40C66FF867C}">
                  <a14:compatExt spid="_x0000_s20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95250</xdr:colOff>
          <xdr:row>29</xdr:row>
          <xdr:rowOff>19050</xdr:rowOff>
        </xdr:from>
        <xdr:to>
          <xdr:col>12</xdr:col>
          <xdr:colOff>704850</xdr:colOff>
          <xdr:row>29</xdr:row>
          <xdr:rowOff>171450</xdr:rowOff>
        </xdr:to>
        <xdr:sp macro="" textlink="">
          <xdr:nvSpPr>
            <xdr:cNvPr id="2076" name="Scroll Bar 28" hidden="1">
              <a:extLst>
                <a:ext uri="{63B3BB69-23CF-44E3-9099-C40C66FF867C}">
                  <a14:compatExt spid="_x0000_s20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</xdr:colOff>
          <xdr:row>25</xdr:row>
          <xdr:rowOff>19050</xdr:rowOff>
        </xdr:from>
        <xdr:to>
          <xdr:col>5</xdr:col>
          <xdr:colOff>704850</xdr:colOff>
          <xdr:row>25</xdr:row>
          <xdr:rowOff>171450</xdr:rowOff>
        </xdr:to>
        <xdr:sp macro="" textlink="">
          <xdr:nvSpPr>
            <xdr:cNvPr id="2077" name="Scroll Bar 29" hidden="1">
              <a:extLst>
                <a:ext uri="{63B3BB69-23CF-44E3-9099-C40C66FF867C}">
                  <a14:compatExt spid="_x0000_s20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</xdr:colOff>
          <xdr:row>26</xdr:row>
          <xdr:rowOff>19050</xdr:rowOff>
        </xdr:from>
        <xdr:to>
          <xdr:col>5</xdr:col>
          <xdr:colOff>704850</xdr:colOff>
          <xdr:row>26</xdr:row>
          <xdr:rowOff>171450</xdr:rowOff>
        </xdr:to>
        <xdr:sp macro="" textlink="">
          <xdr:nvSpPr>
            <xdr:cNvPr id="2078" name="Scroll Bar 30" hidden="1">
              <a:extLst>
                <a:ext uri="{63B3BB69-23CF-44E3-9099-C40C66FF867C}">
                  <a14:compatExt spid="_x0000_s20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261937</xdr:colOff>
      <xdr:row>7</xdr:row>
      <xdr:rowOff>66676</xdr:rowOff>
    </xdr:from>
    <xdr:to>
      <xdr:col>2</xdr:col>
      <xdr:colOff>604838</xdr:colOff>
      <xdr:row>8</xdr:row>
      <xdr:rowOff>123826</xdr:rowOff>
    </xdr:to>
    <xdr:sp macro="" textlink="">
      <xdr:nvSpPr>
        <xdr:cNvPr id="2" name="1 Flecha abajo"/>
        <xdr:cNvSpPr/>
      </xdr:nvSpPr>
      <xdr:spPr>
        <a:xfrm>
          <a:off x="1433512" y="1019176"/>
          <a:ext cx="342901" cy="2476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261937</xdr:colOff>
      <xdr:row>10</xdr:row>
      <xdr:rowOff>57151</xdr:rowOff>
    </xdr:from>
    <xdr:to>
      <xdr:col>2</xdr:col>
      <xdr:colOff>604838</xdr:colOff>
      <xdr:row>11</xdr:row>
      <xdr:rowOff>114301</xdr:rowOff>
    </xdr:to>
    <xdr:sp macro="" textlink="">
      <xdr:nvSpPr>
        <xdr:cNvPr id="3" name="2 Flecha abajo"/>
        <xdr:cNvSpPr/>
      </xdr:nvSpPr>
      <xdr:spPr>
        <a:xfrm>
          <a:off x="1433512" y="1581151"/>
          <a:ext cx="342901" cy="2476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8</xdr:col>
      <xdr:colOff>161924</xdr:colOff>
      <xdr:row>1</xdr:row>
      <xdr:rowOff>2952</xdr:rowOff>
    </xdr:from>
    <xdr:to>
      <xdr:col>8</xdr:col>
      <xdr:colOff>609599</xdr:colOff>
      <xdr:row>3</xdr:row>
      <xdr:rowOff>38100</xdr:rowOff>
    </xdr:to>
    <xdr:pic>
      <xdr:nvPicPr>
        <xdr:cNvPr id="4" name="3 Imagen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75444" t="29822" r="19445" b="61584"/>
        <a:stretch/>
      </xdr:blipFill>
      <xdr:spPr>
        <a:xfrm>
          <a:off x="11429999" y="193452"/>
          <a:ext cx="447675" cy="416148"/>
        </a:xfrm>
        <a:prstGeom prst="rect">
          <a:avLst/>
        </a:prstGeom>
      </xdr:spPr>
    </xdr:pic>
    <xdr:clientData/>
  </xdr:twoCellAnchor>
  <xdr:twoCellAnchor>
    <xdr:from>
      <xdr:col>2</xdr:col>
      <xdr:colOff>261937</xdr:colOff>
      <xdr:row>14</xdr:row>
      <xdr:rowOff>57151</xdr:rowOff>
    </xdr:from>
    <xdr:to>
      <xdr:col>2</xdr:col>
      <xdr:colOff>604838</xdr:colOff>
      <xdr:row>15</xdr:row>
      <xdr:rowOff>114301</xdr:rowOff>
    </xdr:to>
    <xdr:sp macro="" textlink="">
      <xdr:nvSpPr>
        <xdr:cNvPr id="5" name="4 Flecha abajo"/>
        <xdr:cNvSpPr/>
      </xdr:nvSpPr>
      <xdr:spPr>
        <a:xfrm>
          <a:off x="1433512" y="2486026"/>
          <a:ext cx="342901" cy="2476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161924</xdr:colOff>
      <xdr:row>2</xdr:row>
      <xdr:rowOff>2952</xdr:rowOff>
    </xdr:from>
    <xdr:to>
      <xdr:col>10</xdr:col>
      <xdr:colOff>609599</xdr:colOff>
      <xdr:row>4</xdr:row>
      <xdr:rowOff>38100</xdr:rowOff>
    </xdr:to>
    <xdr:pic>
      <xdr:nvPicPr>
        <xdr:cNvPr id="2" name="1 Imagen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75444" t="29822" r="19445" b="61584"/>
        <a:stretch/>
      </xdr:blipFill>
      <xdr:spPr>
        <a:xfrm>
          <a:off x="11249024" y="193452"/>
          <a:ext cx="447675" cy="4161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2.xml"/><Relationship Id="rId13" Type="http://schemas.openxmlformats.org/officeDocument/2006/relationships/ctrlProp" Target="../ctrlProps/ctrlProp17.xml"/><Relationship Id="rId18" Type="http://schemas.openxmlformats.org/officeDocument/2006/relationships/ctrlProp" Target="../ctrlProps/ctrlProp22.xml"/><Relationship Id="rId26" Type="http://schemas.openxmlformats.org/officeDocument/2006/relationships/ctrlProp" Target="../ctrlProps/ctrlProp30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25.xml"/><Relationship Id="rId7" Type="http://schemas.openxmlformats.org/officeDocument/2006/relationships/ctrlProp" Target="../ctrlProps/ctrlProp11.xml"/><Relationship Id="rId12" Type="http://schemas.openxmlformats.org/officeDocument/2006/relationships/ctrlProp" Target="../ctrlProps/ctrlProp16.xml"/><Relationship Id="rId17" Type="http://schemas.openxmlformats.org/officeDocument/2006/relationships/ctrlProp" Target="../ctrlProps/ctrlProp21.xml"/><Relationship Id="rId25" Type="http://schemas.openxmlformats.org/officeDocument/2006/relationships/ctrlProp" Target="../ctrlProps/ctrlProp29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20.xml"/><Relationship Id="rId20" Type="http://schemas.openxmlformats.org/officeDocument/2006/relationships/ctrlProp" Target="../ctrlProps/ctrlProp24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10.xml"/><Relationship Id="rId11" Type="http://schemas.openxmlformats.org/officeDocument/2006/relationships/ctrlProp" Target="../ctrlProps/ctrlProp15.xml"/><Relationship Id="rId24" Type="http://schemas.openxmlformats.org/officeDocument/2006/relationships/ctrlProp" Target="../ctrlProps/ctrlProp28.xml"/><Relationship Id="rId5" Type="http://schemas.openxmlformats.org/officeDocument/2006/relationships/ctrlProp" Target="../ctrlProps/ctrlProp9.xml"/><Relationship Id="rId15" Type="http://schemas.openxmlformats.org/officeDocument/2006/relationships/ctrlProp" Target="../ctrlProps/ctrlProp19.xml"/><Relationship Id="rId23" Type="http://schemas.openxmlformats.org/officeDocument/2006/relationships/ctrlProp" Target="../ctrlProps/ctrlProp27.xml"/><Relationship Id="rId10" Type="http://schemas.openxmlformats.org/officeDocument/2006/relationships/ctrlProp" Target="../ctrlProps/ctrlProp14.xml"/><Relationship Id="rId19" Type="http://schemas.openxmlformats.org/officeDocument/2006/relationships/ctrlProp" Target="../ctrlProps/ctrlProp23.xml"/><Relationship Id="rId4" Type="http://schemas.openxmlformats.org/officeDocument/2006/relationships/ctrlProp" Target="../ctrlProps/ctrlProp8.xml"/><Relationship Id="rId9" Type="http://schemas.openxmlformats.org/officeDocument/2006/relationships/ctrlProp" Target="../ctrlProps/ctrlProp13.xml"/><Relationship Id="rId14" Type="http://schemas.openxmlformats.org/officeDocument/2006/relationships/ctrlProp" Target="../ctrlProps/ctrlProp18.xml"/><Relationship Id="rId22" Type="http://schemas.openxmlformats.org/officeDocument/2006/relationships/ctrlProp" Target="../ctrlProps/ctrlProp26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T27"/>
  <sheetViews>
    <sheetView showGridLines="0" showRowColHeaders="0" zoomScale="75" zoomScaleNormal="75" workbookViewId="0">
      <selection activeCell="E14" sqref="E14"/>
    </sheetView>
  </sheetViews>
  <sheetFormatPr baseColWidth="10" defaultColWidth="0" defaultRowHeight="15" zeroHeight="1" x14ac:dyDescent="0.25"/>
  <cols>
    <col min="1" max="1" width="1.5703125" customWidth="1"/>
    <col min="2" max="2" width="1.85546875" customWidth="1"/>
    <col min="3" max="4" width="12.7109375" customWidth="1"/>
    <col min="5" max="7" width="9.7109375" customWidth="1"/>
    <col min="8" max="8" width="10.42578125" customWidth="1"/>
    <col min="9" max="9" width="1.42578125" customWidth="1"/>
    <col min="10" max="10" width="4.140625" customWidth="1"/>
    <col min="11" max="13" width="9.7109375" customWidth="1"/>
    <col min="14" max="15" width="11.28515625" customWidth="1"/>
    <col min="16" max="17" width="9.7109375" customWidth="1"/>
    <col min="18" max="18" width="1.7109375" customWidth="1"/>
    <col min="19" max="20" width="0" hidden="1" customWidth="1"/>
    <col min="21" max="16384" width="11.42578125" hidden="1"/>
  </cols>
  <sheetData>
    <row r="1" spans="1:18" ht="5.2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24" customHeight="1" x14ac:dyDescent="0.25">
      <c r="A2" s="7"/>
      <c r="B2" s="7"/>
      <c r="C2" s="203"/>
      <c r="D2" s="203"/>
      <c r="E2" s="203"/>
      <c r="F2" s="203"/>
      <c r="G2" s="134"/>
      <c r="H2" s="134"/>
      <c r="I2" s="7"/>
      <c r="J2" s="8" t="s">
        <v>0</v>
      </c>
      <c r="K2" s="7"/>
      <c r="L2" s="7"/>
      <c r="M2" s="7"/>
      <c r="N2" s="7"/>
      <c r="O2" s="175" t="s">
        <v>16</v>
      </c>
      <c r="P2" s="175"/>
      <c r="Q2" s="7"/>
      <c r="R2" s="7"/>
    </row>
    <row r="3" spans="1:18" ht="24" customHeight="1" x14ac:dyDescent="0.25">
      <c r="A3" s="2"/>
      <c r="B3" s="2"/>
      <c r="C3" s="203"/>
      <c r="D3" s="203"/>
      <c r="E3" s="203"/>
      <c r="F3" s="203"/>
      <c r="G3" s="134"/>
      <c r="H3" s="134"/>
      <c r="I3" s="2"/>
      <c r="J3" s="135" t="s">
        <v>48</v>
      </c>
      <c r="K3" s="2"/>
      <c r="L3" s="2"/>
      <c r="M3" s="2"/>
      <c r="N3" s="32"/>
      <c r="O3" s="175"/>
      <c r="P3" s="175"/>
      <c r="Q3" s="2"/>
      <c r="R3" s="2"/>
    </row>
    <row r="4" spans="1:18" ht="6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ht="6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x14ac:dyDescent="0.25"/>
    <row r="7" spans="1:18" ht="15.75" thickBot="1" x14ac:dyDescent="0.3">
      <c r="B7" s="190" t="s">
        <v>121</v>
      </c>
      <c r="C7" s="190"/>
      <c r="D7" s="190"/>
    </row>
    <row r="8" spans="1:18" ht="6.75" customHeight="1" thickTop="1" x14ac:dyDescent="0.25">
      <c r="B8" s="138"/>
      <c r="C8" s="139"/>
      <c r="D8" s="139"/>
      <c r="E8" s="139"/>
      <c r="F8" s="139"/>
      <c r="G8" s="139"/>
      <c r="H8" s="139"/>
      <c r="I8" s="140"/>
      <c r="K8" s="176" t="s">
        <v>32</v>
      </c>
      <c r="L8" s="177"/>
      <c r="M8" s="177"/>
      <c r="N8" s="182">
        <f>Molienda!O46</f>
        <v>11.67674566938102</v>
      </c>
      <c r="O8" s="183"/>
      <c r="P8" s="169">
        <f>Molienda!P46</f>
        <v>91.078616221171956</v>
      </c>
      <c r="Q8" s="170"/>
    </row>
    <row r="9" spans="1:18" ht="15" customHeight="1" x14ac:dyDescent="0.25">
      <c r="B9" s="141"/>
      <c r="C9" s="191" t="s">
        <v>3</v>
      </c>
      <c r="D9" s="192"/>
      <c r="E9" s="195">
        <f>Molienda!E10</f>
        <v>620</v>
      </c>
      <c r="F9" s="197" t="s">
        <v>2</v>
      </c>
      <c r="G9" s="199">
        <f>Molienda!G10</f>
        <v>4836</v>
      </c>
      <c r="H9" s="201" t="s">
        <v>67</v>
      </c>
      <c r="I9" s="142"/>
      <c r="K9" s="178"/>
      <c r="L9" s="179"/>
      <c r="M9" s="179"/>
      <c r="N9" s="184"/>
      <c r="O9" s="185"/>
      <c r="P9" s="171"/>
      <c r="Q9" s="172"/>
    </row>
    <row r="10" spans="1:18" ht="15" customHeight="1" x14ac:dyDescent="0.25">
      <c r="B10" s="141"/>
      <c r="C10" s="193"/>
      <c r="D10" s="194"/>
      <c r="E10" s="196"/>
      <c r="F10" s="198"/>
      <c r="G10" s="200"/>
      <c r="H10" s="202"/>
      <c r="I10" s="142"/>
      <c r="K10" s="178"/>
      <c r="L10" s="179"/>
      <c r="M10" s="179"/>
      <c r="N10" s="184"/>
      <c r="O10" s="185"/>
      <c r="P10" s="171"/>
      <c r="Q10" s="172"/>
    </row>
    <row r="11" spans="1:18" ht="15" customHeight="1" x14ac:dyDescent="0.25">
      <c r="B11" s="141"/>
      <c r="C11" s="191" t="s">
        <v>127</v>
      </c>
      <c r="D11" s="192"/>
      <c r="E11" s="195">
        <f>Molienda!E12</f>
        <v>334</v>
      </c>
      <c r="F11" s="197" t="s">
        <v>2</v>
      </c>
      <c r="G11" s="199">
        <f>Molienda!G12</f>
        <v>2605.1999999999998</v>
      </c>
      <c r="H11" s="201" t="s">
        <v>67</v>
      </c>
      <c r="I11" s="142"/>
      <c r="K11" s="178"/>
      <c r="L11" s="179"/>
      <c r="M11" s="179"/>
      <c r="N11" s="184"/>
      <c r="O11" s="185"/>
      <c r="P11" s="171"/>
      <c r="Q11" s="172"/>
    </row>
    <row r="12" spans="1:18" ht="15" customHeight="1" thickBot="1" x14ac:dyDescent="0.3">
      <c r="B12" s="141"/>
      <c r="C12" s="193"/>
      <c r="D12" s="194"/>
      <c r="E12" s="196"/>
      <c r="F12" s="198">
        <v>713</v>
      </c>
      <c r="G12" s="200"/>
      <c r="H12" s="202"/>
      <c r="I12" s="142"/>
      <c r="K12" s="180"/>
      <c r="L12" s="181"/>
      <c r="M12" s="181"/>
      <c r="N12" s="186"/>
      <c r="O12" s="187"/>
      <c r="P12" s="173"/>
      <c r="Q12" s="174"/>
    </row>
    <row r="13" spans="1:18" ht="6.75" customHeight="1" thickTop="1" thickBot="1" x14ac:dyDescent="0.3">
      <c r="B13" s="141"/>
      <c r="C13" s="131"/>
      <c r="D13" s="131"/>
      <c r="E13" s="131"/>
      <c r="F13" s="131"/>
      <c r="G13" s="131"/>
      <c r="H13" s="131"/>
      <c r="I13" s="142"/>
    </row>
    <row r="14" spans="1:18" ht="15.75" customHeight="1" thickTop="1" x14ac:dyDescent="0.25">
      <c r="B14" s="141"/>
      <c r="C14" s="188" t="s">
        <v>118</v>
      </c>
      <c r="D14" s="189"/>
      <c r="E14" s="147">
        <f>Molienda!E26</f>
        <v>0</v>
      </c>
      <c r="F14" s="75"/>
      <c r="G14" s="143">
        <f>Molienda!G26</f>
        <v>0</v>
      </c>
      <c r="H14" s="131" t="s">
        <v>125</v>
      </c>
      <c r="I14" s="142"/>
      <c r="K14" s="176" t="s">
        <v>123</v>
      </c>
      <c r="L14" s="177"/>
      <c r="M14" s="177"/>
      <c r="N14" s="166">
        <f>Molienda!O43</f>
        <v>314.67674566938103</v>
      </c>
      <c r="O14" s="166"/>
      <c r="P14" s="169">
        <f>Molienda!P43</f>
        <v>2454.4786162211722</v>
      </c>
      <c r="Q14" s="170"/>
    </row>
    <row r="15" spans="1:18" ht="15.75" customHeight="1" x14ac:dyDescent="0.25">
      <c r="B15" s="141"/>
      <c r="C15" s="188" t="s">
        <v>128</v>
      </c>
      <c r="D15" s="189"/>
      <c r="E15" s="147">
        <f>Molienda!E27</f>
        <v>0</v>
      </c>
      <c r="F15" s="75">
        <v>0</v>
      </c>
      <c r="G15" s="143">
        <f>Molienda!G27</f>
        <v>0</v>
      </c>
      <c r="H15" s="131" t="s">
        <v>125</v>
      </c>
      <c r="I15" s="142"/>
      <c r="K15" s="178"/>
      <c r="L15" s="179"/>
      <c r="M15" s="179"/>
      <c r="N15" s="167"/>
      <c r="O15" s="167"/>
      <c r="P15" s="171"/>
      <c r="Q15" s="172"/>
    </row>
    <row r="16" spans="1:18" ht="6.75" customHeight="1" x14ac:dyDescent="0.25">
      <c r="B16" s="144"/>
      <c r="C16" s="145"/>
      <c r="D16" s="145"/>
      <c r="E16" s="145"/>
      <c r="F16" s="145"/>
      <c r="G16" s="145"/>
      <c r="H16" s="145"/>
      <c r="I16" s="146"/>
      <c r="K16" s="178"/>
      <c r="L16" s="179"/>
      <c r="M16" s="179"/>
      <c r="N16" s="167"/>
      <c r="O16" s="167"/>
      <c r="P16" s="171"/>
      <c r="Q16" s="172"/>
    </row>
    <row r="17" spans="2:17" ht="15" customHeight="1" x14ac:dyDescent="0.25">
      <c r="K17" s="178"/>
      <c r="L17" s="179"/>
      <c r="M17" s="179"/>
      <c r="N17" s="167"/>
      <c r="O17" s="167"/>
      <c r="P17" s="171"/>
      <c r="Q17" s="172"/>
    </row>
    <row r="18" spans="2:17" ht="15.75" thickBot="1" x14ac:dyDescent="0.3">
      <c r="B18" s="190" t="s">
        <v>122</v>
      </c>
      <c r="C18" s="190"/>
      <c r="D18" s="190"/>
      <c r="K18" s="180"/>
      <c r="L18" s="181"/>
      <c r="M18" s="181"/>
      <c r="N18" s="168"/>
      <c r="O18" s="168"/>
      <c r="P18" s="173"/>
      <c r="Q18" s="174"/>
    </row>
    <row r="19" spans="2:17" ht="6.75" customHeight="1" thickTop="1" thickBot="1" x14ac:dyDescent="0.3">
      <c r="B19" s="138"/>
      <c r="C19" s="139"/>
      <c r="D19" s="139"/>
      <c r="E19" s="139"/>
      <c r="F19" s="139"/>
      <c r="G19" s="139"/>
      <c r="H19" s="139"/>
      <c r="I19" s="140"/>
    </row>
    <row r="20" spans="2:17" ht="15" customHeight="1" thickTop="1" x14ac:dyDescent="0.25">
      <c r="B20" s="141"/>
      <c r="C20" s="191" t="s">
        <v>81</v>
      </c>
      <c r="D20" s="192"/>
      <c r="E20" s="195">
        <f>Molienda!E17</f>
        <v>303</v>
      </c>
      <c r="F20" s="197" t="s">
        <v>2</v>
      </c>
      <c r="G20" s="199">
        <f>Molienda!G17</f>
        <v>2363.4</v>
      </c>
      <c r="H20" s="201" t="s">
        <v>67</v>
      </c>
      <c r="I20" s="142"/>
      <c r="K20" s="176" t="s">
        <v>124</v>
      </c>
      <c r="L20" s="177"/>
      <c r="M20" s="177"/>
      <c r="N20" s="166">
        <f>Molienda!E49</f>
        <v>327.14102564102569</v>
      </c>
      <c r="O20" s="166"/>
      <c r="P20" s="169">
        <f>Molienda!F49</f>
        <v>2551.7000000000003</v>
      </c>
      <c r="Q20" s="170"/>
    </row>
    <row r="21" spans="2:17" ht="15" customHeight="1" x14ac:dyDescent="0.25">
      <c r="B21" s="141"/>
      <c r="C21" s="193"/>
      <c r="D21" s="194"/>
      <c r="E21" s="196"/>
      <c r="F21" s="198"/>
      <c r="G21" s="200"/>
      <c r="H21" s="202"/>
      <c r="I21" s="142"/>
      <c r="K21" s="178"/>
      <c r="L21" s="179"/>
      <c r="M21" s="179"/>
      <c r="N21" s="167"/>
      <c r="O21" s="167"/>
      <c r="P21" s="171"/>
      <c r="Q21" s="172"/>
    </row>
    <row r="22" spans="2:17" ht="6.75" customHeight="1" x14ac:dyDescent="0.25">
      <c r="B22" s="141"/>
      <c r="C22" s="131"/>
      <c r="D22" s="131"/>
      <c r="E22" s="131"/>
      <c r="F22" s="131"/>
      <c r="G22" s="131"/>
      <c r="H22" s="131"/>
      <c r="I22" s="142"/>
      <c r="K22" s="178"/>
      <c r="L22" s="179"/>
      <c r="M22" s="179"/>
      <c r="N22" s="167"/>
      <c r="O22" s="167"/>
      <c r="P22" s="171"/>
      <c r="Q22" s="172"/>
    </row>
    <row r="23" spans="2:17" ht="15.75" customHeight="1" x14ac:dyDescent="0.25">
      <c r="B23" s="141"/>
      <c r="C23" s="188" t="s">
        <v>79</v>
      </c>
      <c r="D23" s="189"/>
      <c r="E23" s="147">
        <f>Molienda!E29</f>
        <v>0</v>
      </c>
      <c r="F23" s="75"/>
      <c r="G23" s="143">
        <f>Molienda!G29</f>
        <v>0</v>
      </c>
      <c r="H23" s="131" t="s">
        <v>125</v>
      </c>
      <c r="I23" s="142"/>
      <c r="K23" s="178"/>
      <c r="L23" s="179"/>
      <c r="M23" s="179"/>
      <c r="N23" s="167"/>
      <c r="O23" s="167"/>
      <c r="P23" s="171"/>
      <c r="Q23" s="172"/>
    </row>
    <row r="24" spans="2:17" ht="16.5" thickBot="1" x14ac:dyDescent="0.3">
      <c r="B24" s="141"/>
      <c r="C24" s="188" t="s">
        <v>80</v>
      </c>
      <c r="D24" s="189"/>
      <c r="E24" s="147">
        <f>Molienda!E30</f>
        <v>445</v>
      </c>
      <c r="F24" s="75">
        <v>360</v>
      </c>
      <c r="G24" s="143">
        <f>Molienda!G30</f>
        <v>188.3</v>
      </c>
      <c r="H24" s="131" t="s">
        <v>126</v>
      </c>
      <c r="I24" s="142"/>
      <c r="K24" s="180"/>
      <c r="L24" s="181"/>
      <c r="M24" s="181"/>
      <c r="N24" s="168"/>
      <c r="O24" s="168"/>
      <c r="P24" s="173"/>
      <c r="Q24" s="174"/>
    </row>
    <row r="25" spans="2:17" ht="6.75" customHeight="1" thickTop="1" x14ac:dyDescent="0.25">
      <c r="B25" s="144"/>
      <c r="C25" s="145"/>
      <c r="D25" s="145"/>
      <c r="E25" s="145"/>
      <c r="F25" s="145"/>
      <c r="G25" s="145"/>
      <c r="H25" s="145"/>
      <c r="I25" s="146"/>
    </row>
    <row r="26" spans="2:17" x14ac:dyDescent="0.25"/>
    <row r="27" spans="2:17" s="148" customFormat="1" ht="6" customHeight="1" x14ac:dyDescent="0.25"/>
  </sheetData>
  <sheetProtection sheet="1" objects="1" scenarios="1" selectLockedCells="1"/>
  <protectedRanges>
    <protectedRange sqref="E9:E12" name="Rango1"/>
    <protectedRange sqref="E20" name="Rango1_1"/>
  </protectedRanges>
  <mergeCells count="32">
    <mergeCell ref="E11:E12"/>
    <mergeCell ref="F11:F12"/>
    <mergeCell ref="G11:G12"/>
    <mergeCell ref="H11:H12"/>
    <mergeCell ref="C2:F3"/>
    <mergeCell ref="C9:D10"/>
    <mergeCell ref="E9:E10"/>
    <mergeCell ref="F9:F10"/>
    <mergeCell ref="G9:G10"/>
    <mergeCell ref="H9:H10"/>
    <mergeCell ref="E20:E21"/>
    <mergeCell ref="F20:F21"/>
    <mergeCell ref="G20:G21"/>
    <mergeCell ref="H20:H21"/>
    <mergeCell ref="C23:D23"/>
    <mergeCell ref="C24:D24"/>
    <mergeCell ref="C14:D14"/>
    <mergeCell ref="C15:D15"/>
    <mergeCell ref="B7:D7"/>
    <mergeCell ref="B18:D18"/>
    <mergeCell ref="C20:D21"/>
    <mergeCell ref="C11:D12"/>
    <mergeCell ref="N20:O24"/>
    <mergeCell ref="P20:Q24"/>
    <mergeCell ref="O2:P3"/>
    <mergeCell ref="K14:M18"/>
    <mergeCell ref="N14:O18"/>
    <mergeCell ref="P14:Q18"/>
    <mergeCell ref="K20:M24"/>
    <mergeCell ref="K8:M12"/>
    <mergeCell ref="N8:O12"/>
    <mergeCell ref="P8:Q12"/>
  </mergeCells>
  <conditionalFormatting sqref="N8:Q12">
    <cfRule type="cellIs" dxfId="4" priority="3" operator="lessThan">
      <formula>0</formula>
    </cfRule>
  </conditionalFormatting>
  <conditionalFormatting sqref="P8:Q12">
    <cfRule type="cellIs" dxfId="3" priority="2" operator="greaterThan">
      <formula>50</formula>
    </cfRule>
  </conditionalFormatting>
  <conditionalFormatting sqref="N8:O12">
    <cfRule type="cellIs" dxfId="2" priority="1" operator="greaterThan">
      <formula>10</formula>
    </cfRule>
  </conditionalFormatting>
  <pageMargins left="0.7" right="0.7" top="0.75" bottom="0.75" header="0.3" footer="0.3"/>
  <ignoredErrors>
    <ignoredError sqref="E9:E13 E23:E24 E20:E21 E14:E15" unlockedFormula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Spinner 1">
              <controlPr locked="0" defaultSize="0" autoPict="0">
                <anchor moveWithCells="1" sizeWithCells="1">
                  <from>
                    <xdr:col>7</xdr:col>
                    <xdr:colOff>381000</xdr:colOff>
                    <xdr:row>8</xdr:row>
                    <xdr:rowOff>19050</xdr:rowOff>
                  </from>
                  <to>
                    <xdr:col>7</xdr:col>
                    <xdr:colOff>638175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4" name="Spinner 2">
              <controlPr defaultSize="0" autoPict="0">
                <anchor moveWithCells="1" sizeWithCells="1">
                  <from>
                    <xdr:col>7</xdr:col>
                    <xdr:colOff>381000</xdr:colOff>
                    <xdr:row>10</xdr:row>
                    <xdr:rowOff>19050</xdr:rowOff>
                  </from>
                  <to>
                    <xdr:col>7</xdr:col>
                    <xdr:colOff>638175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5" name="Spinner 4">
              <controlPr defaultSize="0" autoPict="0">
                <anchor moveWithCells="1" sizeWithCells="1">
                  <from>
                    <xdr:col>7</xdr:col>
                    <xdr:colOff>381000</xdr:colOff>
                    <xdr:row>19</xdr:row>
                    <xdr:rowOff>19050</xdr:rowOff>
                  </from>
                  <to>
                    <xdr:col>7</xdr:col>
                    <xdr:colOff>638175</xdr:colOff>
                    <xdr:row>20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6" name="Scroll Bar 5">
              <controlPr defaultSize="0" autoPict="0">
                <anchor moveWithCells="1">
                  <from>
                    <xdr:col>5</xdr:col>
                    <xdr:colOff>57150</xdr:colOff>
                    <xdr:row>22</xdr:row>
                    <xdr:rowOff>28575</xdr:rowOff>
                  </from>
                  <to>
                    <xdr:col>5</xdr:col>
                    <xdr:colOff>609600</xdr:colOff>
                    <xdr:row>22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7" name="Scroll Bar 6">
              <controlPr defaultSize="0" autoPict="0">
                <anchor moveWithCells="1">
                  <from>
                    <xdr:col>5</xdr:col>
                    <xdr:colOff>57150</xdr:colOff>
                    <xdr:row>23</xdr:row>
                    <xdr:rowOff>28575</xdr:rowOff>
                  </from>
                  <to>
                    <xdr:col>5</xdr:col>
                    <xdr:colOff>609600</xdr:colOff>
                    <xdr:row>23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8" name="Scroll Bar 7">
              <controlPr defaultSize="0" autoPict="0">
                <anchor moveWithCells="1">
                  <from>
                    <xdr:col>5</xdr:col>
                    <xdr:colOff>57150</xdr:colOff>
                    <xdr:row>13</xdr:row>
                    <xdr:rowOff>28575</xdr:rowOff>
                  </from>
                  <to>
                    <xdr:col>5</xdr:col>
                    <xdr:colOff>609600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9" name="Scroll Bar 8">
              <controlPr defaultSize="0" autoPict="0">
                <anchor moveWithCells="1">
                  <from>
                    <xdr:col>5</xdr:col>
                    <xdr:colOff>57150</xdr:colOff>
                    <xdr:row>14</xdr:row>
                    <xdr:rowOff>28575</xdr:rowOff>
                  </from>
                  <to>
                    <xdr:col>5</xdr:col>
                    <xdr:colOff>609600</xdr:colOff>
                    <xdr:row>14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K99"/>
  <sheetViews>
    <sheetView showGridLines="0" zoomScale="85" zoomScaleNormal="85" workbookViewId="0">
      <pane ySplit="6" topLeftCell="A7" activePane="bottomLeft" state="frozen"/>
      <selection pane="bottomLeft" activeCell="P90" sqref="P90"/>
    </sheetView>
  </sheetViews>
  <sheetFormatPr baseColWidth="10" defaultColWidth="0" defaultRowHeight="15" zeroHeight="1" outlineLevelRow="1" x14ac:dyDescent="0.25"/>
  <cols>
    <col min="1" max="1" width="1.42578125" style="1" customWidth="1"/>
    <col min="2" max="2" width="1.140625" style="1" customWidth="1"/>
    <col min="3" max="3" width="11.7109375" style="1" customWidth="1"/>
    <col min="4" max="4" width="14.42578125" style="1" customWidth="1"/>
    <col min="5" max="5" width="12.28515625" style="1" customWidth="1"/>
    <col min="6" max="6" width="11.7109375" style="1" customWidth="1"/>
    <col min="7" max="7" width="12.28515625" style="1" customWidth="1"/>
    <col min="8" max="8" width="12" style="1" customWidth="1"/>
    <col min="9" max="9" width="5" style="1" customWidth="1"/>
    <col min="10" max="10" width="13" style="1" customWidth="1"/>
    <col min="11" max="11" width="13.28515625" style="1" customWidth="1"/>
    <col min="12" max="13" width="11.7109375" style="1" customWidth="1"/>
    <col min="14" max="14" width="12.85546875" style="1" customWidth="1"/>
    <col min="15" max="15" width="12.7109375" style="1" customWidth="1"/>
    <col min="16" max="16" width="11.7109375" style="1" customWidth="1"/>
    <col min="17" max="17" width="12.5703125" style="1" customWidth="1"/>
    <col min="18" max="19" width="1.5703125" style="1" customWidth="1"/>
    <col min="20" max="37" width="11.140625" style="1" hidden="1" customWidth="1"/>
    <col min="38" max="16384" width="2.42578125" style="1" hidden="1"/>
  </cols>
  <sheetData>
    <row r="1" spans="2:24" s="6" customFormat="1" ht="5.25" customHeight="1" x14ac:dyDescent="0.25"/>
    <row r="2" spans="2:24" s="2" customFormat="1" ht="9.75" customHeight="1" x14ac:dyDescent="0.25"/>
    <row r="3" spans="2:24" s="7" customFormat="1" ht="15" customHeight="1" x14ac:dyDescent="0.25">
      <c r="B3" s="203"/>
      <c r="C3" s="203"/>
      <c r="D3" s="203"/>
      <c r="E3" s="203"/>
      <c r="F3" s="68"/>
      <c r="G3" s="68"/>
      <c r="I3" s="8" t="s">
        <v>0</v>
      </c>
      <c r="O3" s="32"/>
      <c r="P3" s="209" t="s">
        <v>16</v>
      </c>
      <c r="Q3" s="209"/>
    </row>
    <row r="4" spans="2:24" s="2" customFormat="1" ht="15" customHeight="1" x14ac:dyDescent="0.25">
      <c r="B4" s="203"/>
      <c r="C4" s="203"/>
      <c r="D4" s="203"/>
      <c r="E4" s="203"/>
      <c r="F4" s="68"/>
      <c r="G4" s="68"/>
      <c r="I4" s="3" t="s">
        <v>48</v>
      </c>
      <c r="N4" s="32"/>
      <c r="O4" s="32"/>
      <c r="P4" s="209"/>
      <c r="Q4" s="209"/>
    </row>
    <row r="5" spans="2:24" s="5" customFormat="1" ht="9.75" customHeight="1" x14ac:dyDescent="0.25"/>
    <row r="6" spans="2:24" s="4" customFormat="1" ht="6.75" customHeight="1" x14ac:dyDescent="0.25"/>
    <row r="7" spans="2:24" ht="6.75" customHeight="1" x14ac:dyDescent="0.25"/>
    <row r="8" spans="2:24" x14ac:dyDescent="0.25">
      <c r="B8" s="208" t="s">
        <v>1</v>
      </c>
      <c r="C8" s="208"/>
      <c r="D8" s="208"/>
    </row>
    <row r="9" spans="2:24" ht="6.75" customHeight="1" x14ac:dyDescent="0.25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1"/>
      <c r="O9" s="26"/>
      <c r="P9" s="27"/>
      <c r="Q9" s="210" t="s">
        <v>17</v>
      </c>
      <c r="R9" s="28"/>
    </row>
    <row r="10" spans="2:24" ht="14.25" customHeight="1" x14ac:dyDescent="0.25">
      <c r="B10" s="12"/>
      <c r="C10" s="191" t="s">
        <v>3</v>
      </c>
      <c r="D10" s="192"/>
      <c r="E10" s="195">
        <v>620</v>
      </c>
      <c r="F10" s="197" t="s">
        <v>2</v>
      </c>
      <c r="G10" s="199">
        <f>E10*$E$20</f>
        <v>4836</v>
      </c>
      <c r="H10" s="201" t="s">
        <v>67</v>
      </c>
      <c r="I10" s="13"/>
      <c r="J10" s="204" t="s">
        <v>7</v>
      </c>
      <c r="K10" s="205"/>
      <c r="L10" s="220">
        <f>M10/1000</f>
        <v>0.14000000000000001</v>
      </c>
      <c r="M10" s="218">
        <v>140</v>
      </c>
      <c r="N10" s="14"/>
      <c r="O10" s="29"/>
      <c r="P10" s="30"/>
      <c r="Q10" s="211"/>
      <c r="R10" s="31"/>
    </row>
    <row r="11" spans="2:24" ht="14.25" customHeight="1" x14ac:dyDescent="0.25">
      <c r="B11" s="12"/>
      <c r="C11" s="193"/>
      <c r="D11" s="194"/>
      <c r="E11" s="196"/>
      <c r="F11" s="198"/>
      <c r="G11" s="200"/>
      <c r="H11" s="202"/>
      <c r="I11" s="13"/>
      <c r="J11" s="206"/>
      <c r="K11" s="207"/>
      <c r="L11" s="221"/>
      <c r="M11" s="219"/>
      <c r="N11" s="14"/>
      <c r="O11" s="29"/>
      <c r="P11" s="30"/>
      <c r="Q11" s="30"/>
      <c r="R11" s="31"/>
    </row>
    <row r="12" spans="2:24" ht="14.25" customHeight="1" x14ac:dyDescent="0.25">
      <c r="B12" s="12"/>
      <c r="C12" s="191" t="s">
        <v>120</v>
      </c>
      <c r="D12" s="192"/>
      <c r="E12" s="195">
        <v>334</v>
      </c>
      <c r="F12" s="197" t="s">
        <v>2</v>
      </c>
      <c r="G12" s="199">
        <f t="shared" ref="G12" si="0">E12*$E$20</f>
        <v>2605.1999999999998</v>
      </c>
      <c r="H12" s="201" t="s">
        <v>67</v>
      </c>
      <c r="I12" s="13"/>
      <c r="J12" s="204" t="s">
        <v>24</v>
      </c>
      <c r="K12" s="205"/>
      <c r="L12" s="220">
        <f>1-L10</f>
        <v>0.86</v>
      </c>
      <c r="M12" s="222"/>
      <c r="N12" s="14"/>
      <c r="O12" s="29"/>
      <c r="P12" s="30"/>
      <c r="Q12" s="30"/>
      <c r="R12" s="31"/>
    </row>
    <row r="13" spans="2:24" ht="14.25" customHeight="1" x14ac:dyDescent="0.25">
      <c r="B13" s="12"/>
      <c r="C13" s="193"/>
      <c r="D13" s="194"/>
      <c r="E13" s="196"/>
      <c r="F13" s="198"/>
      <c r="G13" s="200"/>
      <c r="H13" s="202"/>
      <c r="I13" s="13"/>
      <c r="J13" s="206"/>
      <c r="K13" s="207"/>
      <c r="L13" s="221"/>
      <c r="M13" s="223"/>
      <c r="N13" s="14"/>
      <c r="O13" s="29"/>
      <c r="P13" s="30"/>
      <c r="Q13" s="30"/>
      <c r="R13" s="31"/>
      <c r="T13" s="1" t="str">
        <f>CONCATENATE(W13," ",ROUND(X13,0),"Tn")</f>
        <v>Poroto Soja 650Tn</v>
      </c>
      <c r="W13" s="13" t="s">
        <v>13</v>
      </c>
      <c r="X13" s="23">
        <f>L20</f>
        <v>650</v>
      </c>
    </row>
    <row r="14" spans="2:24" ht="14.25" customHeight="1" x14ac:dyDescent="0.35">
      <c r="B14" s="12"/>
      <c r="C14" s="191" t="s">
        <v>19</v>
      </c>
      <c r="D14" s="192"/>
      <c r="E14" s="195">
        <v>334</v>
      </c>
      <c r="F14" s="197" t="s">
        <v>2</v>
      </c>
      <c r="G14" s="199">
        <f t="shared" ref="G14" si="1">E14*$E$20</f>
        <v>2605.1999999999998</v>
      </c>
      <c r="H14" s="201" t="s">
        <v>67</v>
      </c>
      <c r="I14" s="13"/>
      <c r="J14" s="13"/>
      <c r="K14" s="13"/>
      <c r="L14" s="20"/>
      <c r="M14" s="13"/>
      <c r="N14" s="14"/>
      <c r="O14" s="29"/>
      <c r="P14" s="30"/>
      <c r="Q14" s="30"/>
      <c r="R14" s="31"/>
      <c r="T14" s="1" t="str">
        <f t="shared" ref="T14:T18" si="2">CONCATENATE(W14," ",ROUND(X14,0),"Tn")</f>
        <v>Mermas 25Tn</v>
      </c>
      <c r="W14" s="13" t="s">
        <v>14</v>
      </c>
      <c r="X14" s="23">
        <f>X13*E37</f>
        <v>25.418994413407823</v>
      </c>
    </row>
    <row r="15" spans="2:24" ht="14.25" customHeight="1" x14ac:dyDescent="0.25">
      <c r="B15" s="12"/>
      <c r="C15" s="193"/>
      <c r="D15" s="194"/>
      <c r="E15" s="196"/>
      <c r="F15" s="198"/>
      <c r="G15" s="200"/>
      <c r="H15" s="202"/>
      <c r="I15" s="13"/>
      <c r="J15" s="204" t="s">
        <v>20</v>
      </c>
      <c r="K15" s="205"/>
      <c r="L15" s="220">
        <f>M15/1000</f>
        <v>1</v>
      </c>
      <c r="M15" s="218">
        <v>1000</v>
      </c>
      <c r="N15" s="14"/>
      <c r="O15" s="29"/>
      <c r="P15" s="30"/>
      <c r="Q15" s="30"/>
      <c r="R15" s="31"/>
      <c r="T15" s="1" t="str">
        <f t="shared" si="2"/>
        <v>Aceite 87Tn</v>
      </c>
      <c r="W15" s="13" t="s">
        <v>5</v>
      </c>
      <c r="X15" s="23">
        <f>(X13-X14)*L10</f>
        <v>87.441340782122907</v>
      </c>
    </row>
    <row r="16" spans="2:24" ht="14.25" customHeight="1" x14ac:dyDescent="0.35">
      <c r="B16" s="12"/>
      <c r="C16" s="21"/>
      <c r="D16" s="21"/>
      <c r="E16" s="18"/>
      <c r="F16" s="71"/>
      <c r="G16" s="18"/>
      <c r="H16" s="13"/>
      <c r="I16" s="13"/>
      <c r="J16" s="206"/>
      <c r="K16" s="207"/>
      <c r="L16" s="221"/>
      <c r="M16" s="219"/>
      <c r="N16" s="14"/>
      <c r="O16" s="29"/>
      <c r="P16" s="30"/>
      <c r="Q16" s="30"/>
      <c r="R16" s="31"/>
      <c r="T16" s="1" t="str">
        <f t="shared" si="2"/>
        <v>Harina 537Tn</v>
      </c>
      <c r="W16" s="24" t="s">
        <v>23</v>
      </c>
      <c r="X16" s="23">
        <f>(X13-X14)*L12</f>
        <v>537.13966480446925</v>
      </c>
    </row>
    <row r="17" spans="2:24" ht="14.25" customHeight="1" x14ac:dyDescent="0.25">
      <c r="B17" s="12"/>
      <c r="C17" s="191" t="s">
        <v>81</v>
      </c>
      <c r="D17" s="192"/>
      <c r="E17" s="195">
        <v>303</v>
      </c>
      <c r="F17" s="197" t="s">
        <v>2</v>
      </c>
      <c r="G17" s="199">
        <f t="shared" ref="G17" si="3">E17*$E$20</f>
        <v>2363.4</v>
      </c>
      <c r="H17" s="201" t="s">
        <v>67</v>
      </c>
      <c r="I17" s="13"/>
      <c r="J17" s="204" t="s">
        <v>21</v>
      </c>
      <c r="K17" s="205"/>
      <c r="L17" s="220">
        <f>1-L15</f>
        <v>0</v>
      </c>
      <c r="M17" s="222"/>
      <c r="N17" s="14"/>
      <c r="O17" s="29"/>
      <c r="P17" s="30"/>
      <c r="Q17" s="30"/>
      <c r="R17" s="31"/>
      <c r="T17" s="1" t="str">
        <f t="shared" si="2"/>
        <v>Pellet 6% 537Tn</v>
      </c>
      <c r="W17" s="24" t="s">
        <v>22</v>
      </c>
      <c r="X17" s="23">
        <f>X16*L15</f>
        <v>537.13966480446925</v>
      </c>
    </row>
    <row r="18" spans="2:24" ht="14.25" customHeight="1" x14ac:dyDescent="0.25">
      <c r="B18" s="12"/>
      <c r="C18" s="193"/>
      <c r="D18" s="194"/>
      <c r="E18" s="196"/>
      <c r="F18" s="198"/>
      <c r="G18" s="200"/>
      <c r="H18" s="202"/>
      <c r="I18" s="13"/>
      <c r="J18" s="206"/>
      <c r="K18" s="207"/>
      <c r="L18" s="221"/>
      <c r="M18" s="223"/>
      <c r="N18" s="14"/>
      <c r="O18" s="29"/>
      <c r="P18" s="30"/>
      <c r="Q18" s="30"/>
      <c r="R18" s="31"/>
      <c r="T18" s="1" t="str">
        <f t="shared" si="2"/>
        <v>Harina 0Tn</v>
      </c>
      <c r="W18" s="24" t="s">
        <v>23</v>
      </c>
      <c r="X18" s="23">
        <f>X16*L17</f>
        <v>0</v>
      </c>
    </row>
    <row r="19" spans="2:24" ht="14.25" customHeight="1" x14ac:dyDescent="0.35">
      <c r="B19" s="12"/>
      <c r="C19" s="21"/>
      <c r="D19" s="21"/>
      <c r="E19" s="18"/>
      <c r="F19" s="18"/>
      <c r="G19" s="18"/>
      <c r="H19" s="13"/>
      <c r="I19" s="13"/>
      <c r="J19" s="13"/>
      <c r="K19" s="13"/>
      <c r="L19" s="13"/>
      <c r="M19" s="13"/>
      <c r="N19" s="14"/>
      <c r="O19" s="29"/>
      <c r="P19" s="30"/>
      <c r="Q19" s="30"/>
      <c r="R19" s="31"/>
    </row>
    <row r="20" spans="2:24" ht="14.25" customHeight="1" x14ac:dyDescent="0.25">
      <c r="B20" s="12"/>
      <c r="C20" s="226" t="s">
        <v>4</v>
      </c>
      <c r="D20" s="227"/>
      <c r="E20" s="230">
        <v>7.8</v>
      </c>
      <c r="F20" s="201" t="s">
        <v>68</v>
      </c>
      <c r="G20" s="232">
        <v>628</v>
      </c>
      <c r="H20" s="13"/>
      <c r="J20" s="226" t="s">
        <v>12</v>
      </c>
      <c r="K20" s="227"/>
      <c r="L20" s="195">
        <v>650</v>
      </c>
      <c r="M20" s="201" t="s">
        <v>11</v>
      </c>
      <c r="N20" s="14"/>
      <c r="O20" s="29"/>
      <c r="P20" s="30"/>
      <c r="Q20" s="30"/>
      <c r="R20" s="31"/>
    </row>
    <row r="21" spans="2:24" ht="14.25" customHeight="1" x14ac:dyDescent="0.25">
      <c r="B21" s="12"/>
      <c r="C21" s="228"/>
      <c r="D21" s="229"/>
      <c r="E21" s="231"/>
      <c r="F21" s="202"/>
      <c r="G21" s="232"/>
      <c r="H21" s="13"/>
      <c r="J21" s="228"/>
      <c r="K21" s="229"/>
      <c r="L21" s="196"/>
      <c r="M21" s="202"/>
      <c r="N21" s="14"/>
      <c r="O21" s="29"/>
      <c r="P21" s="30"/>
      <c r="Q21" s="30"/>
      <c r="R21" s="31"/>
    </row>
    <row r="22" spans="2:24" ht="6.75" customHeight="1" x14ac:dyDescent="0.25">
      <c r="B22" s="12"/>
      <c r="C22" s="13"/>
      <c r="D22" s="13"/>
      <c r="E22" s="13"/>
      <c r="F22" s="13"/>
      <c r="G22" s="13"/>
      <c r="H22" s="13"/>
      <c r="I22" s="13"/>
      <c r="J22" s="13"/>
      <c r="K22" s="116"/>
      <c r="L22" s="13"/>
      <c r="M22" s="13"/>
      <c r="N22" s="14"/>
      <c r="O22" s="29"/>
      <c r="P22" s="30"/>
      <c r="Q22" s="30"/>
      <c r="R22" s="31"/>
    </row>
    <row r="23" spans="2:24" ht="6.75" customHeight="1" x14ac:dyDescent="0.25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4"/>
      <c r="O23" s="29"/>
      <c r="P23" s="30"/>
      <c r="Q23" s="30"/>
      <c r="R23" s="31"/>
    </row>
    <row r="24" spans="2:24" ht="15" customHeight="1" x14ac:dyDescent="0.25">
      <c r="B24" s="12"/>
      <c r="C24" s="188" t="s">
        <v>76</v>
      </c>
      <c r="D24" s="189"/>
      <c r="E24" s="118">
        <f>G24/E20</f>
        <v>1.6666666666666667</v>
      </c>
      <c r="F24" s="90" t="s">
        <v>2</v>
      </c>
      <c r="G24" s="118">
        <v>13</v>
      </c>
      <c r="H24" s="91" t="s">
        <v>77</v>
      </c>
      <c r="I24" s="13"/>
      <c r="J24" s="65" t="s">
        <v>25</v>
      </c>
      <c r="K24" s="66"/>
      <c r="L24" s="120">
        <f>L20*N24/100</f>
        <v>650</v>
      </c>
      <c r="M24" s="238" t="s">
        <v>11</v>
      </c>
      <c r="N24" s="83">
        <v>100</v>
      </c>
      <c r="O24" s="29"/>
      <c r="P24" s="30"/>
      <c r="Q24" s="30"/>
      <c r="R24" s="31"/>
    </row>
    <row r="25" spans="2:24" ht="15" customHeight="1" x14ac:dyDescent="0.25">
      <c r="B25" s="19"/>
      <c r="G25" s="70"/>
      <c r="I25" s="13"/>
      <c r="J25" s="65" t="s">
        <v>26</v>
      </c>
      <c r="K25" s="66"/>
      <c r="L25" s="120">
        <f>L20-L24</f>
        <v>0</v>
      </c>
      <c r="M25" s="238"/>
      <c r="N25" s="64"/>
      <c r="O25" s="29"/>
      <c r="P25" s="30"/>
      <c r="Q25" s="30"/>
      <c r="R25" s="31"/>
    </row>
    <row r="26" spans="2:24" ht="15" customHeight="1" x14ac:dyDescent="0.25">
      <c r="B26" s="12"/>
      <c r="C26" s="188" t="s">
        <v>118</v>
      </c>
      <c r="D26" s="189"/>
      <c r="E26" s="118">
        <v>0</v>
      </c>
      <c r="F26" s="75"/>
      <c r="G26" s="122">
        <f>SUMPRODUCT((E26='Flete y Mermas'!A2:A1001)*('Flete y Mermas'!B2:B1001))</f>
        <v>0</v>
      </c>
      <c r="I26" s="13"/>
      <c r="J26" s="40" t="s">
        <v>30</v>
      </c>
      <c r="K26" s="41"/>
      <c r="L26" s="84">
        <f>IF(L25&gt;0,P82*O82,0)/E20</f>
        <v>0</v>
      </c>
      <c r="M26" s="67" t="s">
        <v>69</v>
      </c>
      <c r="N26" s="14"/>
      <c r="O26" s="29"/>
      <c r="P26" s="30"/>
      <c r="Q26" s="30"/>
      <c r="R26" s="31"/>
    </row>
    <row r="27" spans="2:24" ht="15" customHeight="1" x14ac:dyDescent="0.25">
      <c r="B27" s="12"/>
      <c r="C27" s="188" t="s">
        <v>119</v>
      </c>
      <c r="D27" s="189"/>
      <c r="E27" s="118">
        <v>0</v>
      </c>
      <c r="F27" s="75">
        <v>0</v>
      </c>
      <c r="G27" s="122">
        <f>SUMPRODUCT((E27='Flete y Mermas'!A2:A1001)*('Flete y Mermas'!B2:B1001))</f>
        <v>0</v>
      </c>
      <c r="I27" s="13"/>
      <c r="J27" s="13"/>
      <c r="K27" s="13"/>
      <c r="L27" s="13"/>
      <c r="M27" s="13"/>
      <c r="N27" s="14"/>
      <c r="O27" s="38" t="s">
        <v>5</v>
      </c>
      <c r="P27" s="36">
        <f>L10*(1-E37)</f>
        <v>0.13452513966480448</v>
      </c>
      <c r="Q27" s="30"/>
      <c r="R27" s="31"/>
    </row>
    <row r="28" spans="2:24" ht="15" customHeight="1" x14ac:dyDescent="0.25">
      <c r="B28" s="12"/>
      <c r="C28" s="136"/>
      <c r="D28" s="136"/>
      <c r="E28" s="137"/>
      <c r="F28" s="122"/>
      <c r="G28" s="122"/>
      <c r="I28" s="13"/>
      <c r="J28" s="226" t="s">
        <v>87</v>
      </c>
      <c r="K28" s="227"/>
      <c r="L28" s="248">
        <v>0</v>
      </c>
      <c r="M28" s="201" t="s">
        <v>11</v>
      </c>
      <c r="N28" s="13"/>
      <c r="O28" s="38"/>
      <c r="P28" s="36"/>
      <c r="Q28" s="30"/>
      <c r="R28" s="31"/>
    </row>
    <row r="29" spans="2:24" ht="15" customHeight="1" x14ac:dyDescent="0.25">
      <c r="B29" s="12"/>
      <c r="C29" s="188" t="s">
        <v>79</v>
      </c>
      <c r="D29" s="189"/>
      <c r="E29" s="118">
        <v>0</v>
      </c>
      <c r="F29" s="75"/>
      <c r="G29" s="122">
        <f>SUMPRODUCT((E29='Flete y Mermas'!A2:A1001)*('Flete y Mermas'!B2:B1001))</f>
        <v>0</v>
      </c>
      <c r="I29" s="13"/>
      <c r="J29" s="228"/>
      <c r="K29" s="229"/>
      <c r="L29" s="249"/>
      <c r="M29" s="202"/>
      <c r="N29" s="13"/>
      <c r="O29" s="38"/>
      <c r="P29" s="36"/>
      <c r="Q29" s="30"/>
      <c r="R29" s="31"/>
    </row>
    <row r="30" spans="2:24" ht="15" customHeight="1" x14ac:dyDescent="0.25">
      <c r="B30" s="12"/>
      <c r="C30" s="188" t="s">
        <v>80</v>
      </c>
      <c r="D30" s="189"/>
      <c r="E30" s="118">
        <v>445</v>
      </c>
      <c r="F30" s="75">
        <v>0</v>
      </c>
      <c r="G30" s="122">
        <f>SUMPRODUCT((E30='Flete y Mermas'!A2:A1001)*('Flete y Mermas'!B2:B1001))</f>
        <v>188.3</v>
      </c>
      <c r="I30" s="13"/>
      <c r="J30" s="188" t="s">
        <v>88</v>
      </c>
      <c r="K30" s="189"/>
      <c r="L30" s="89">
        <f>M30/10</f>
        <v>0</v>
      </c>
      <c r="M30" s="121">
        <v>0</v>
      </c>
      <c r="N30" s="13"/>
      <c r="O30" s="38"/>
      <c r="P30" s="36"/>
      <c r="Q30" s="30"/>
      <c r="R30" s="31"/>
    </row>
    <row r="31" spans="2:24" ht="15" customHeight="1" x14ac:dyDescent="0.25">
      <c r="B31" s="12"/>
      <c r="I31" s="13"/>
      <c r="N31" s="13"/>
      <c r="O31" s="38" t="s">
        <v>15</v>
      </c>
      <c r="P31" s="30">
        <f>L12*(1-E37)*L15</f>
        <v>0.82636871508379883</v>
      </c>
      <c r="Q31" s="30"/>
      <c r="R31" s="31"/>
    </row>
    <row r="32" spans="2:24" ht="15" customHeight="1" x14ac:dyDescent="0.25">
      <c r="B32" s="12"/>
      <c r="C32" s="234" t="s">
        <v>73</v>
      </c>
      <c r="D32" s="235"/>
      <c r="E32" s="119">
        <f>F32/1000</f>
        <v>0</v>
      </c>
      <c r="F32" s="75">
        <v>0</v>
      </c>
      <c r="I32" s="13"/>
      <c r="N32" s="13"/>
      <c r="O32" s="38" t="s">
        <v>14</v>
      </c>
      <c r="P32" s="30">
        <f>E37</f>
        <v>3.9106145251396648E-2</v>
      </c>
      <c r="Q32" s="30"/>
      <c r="R32" s="31"/>
    </row>
    <row r="33" spans="2:18" ht="15" customHeight="1" x14ac:dyDescent="0.25">
      <c r="B33" s="12"/>
      <c r="C33" s="234" t="s">
        <v>74</v>
      </c>
      <c r="D33" s="235"/>
      <c r="E33" s="119">
        <f>F33/1000</f>
        <v>5.0000000000000001E-3</v>
      </c>
      <c r="F33" s="75">
        <v>5</v>
      </c>
      <c r="I33" s="13"/>
      <c r="N33" s="14"/>
      <c r="Q33" s="30"/>
      <c r="R33" s="31"/>
    </row>
    <row r="34" spans="2:18" ht="15" customHeight="1" x14ac:dyDescent="0.25">
      <c r="B34" s="12"/>
      <c r="C34" s="234" t="s">
        <v>75</v>
      </c>
      <c r="D34" s="235"/>
      <c r="E34" s="119">
        <f>F34/1000</f>
        <v>5.0000000000000001E-3</v>
      </c>
      <c r="F34" s="75">
        <v>5</v>
      </c>
      <c r="I34" s="13"/>
      <c r="N34" s="14"/>
      <c r="O34" s="86"/>
      <c r="P34" s="30"/>
      <c r="Q34" s="30"/>
      <c r="R34" s="31"/>
    </row>
    <row r="35" spans="2:18" s="25" customFormat="1" ht="8.25" customHeight="1" x14ac:dyDescent="0.25">
      <c r="B35" s="33"/>
      <c r="C35" s="34"/>
      <c r="D35" s="34"/>
      <c r="E35" s="34"/>
      <c r="F35" s="34"/>
      <c r="G35" s="34"/>
      <c r="H35" s="34"/>
      <c r="I35" s="34"/>
      <c r="N35" s="35"/>
      <c r="O35" s="37"/>
      <c r="P35" s="37"/>
      <c r="Q35" s="37"/>
      <c r="R35" s="39"/>
    </row>
    <row r="36" spans="2:18" s="25" customFormat="1" ht="8.25" customHeight="1" x14ac:dyDescent="0.25">
      <c r="B36" s="94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6"/>
      <c r="P36" s="97"/>
      <c r="Q36" s="98"/>
      <c r="R36" s="99"/>
    </row>
    <row r="37" spans="2:18" s="25" customFormat="1" ht="16.5" customHeight="1" x14ac:dyDescent="0.25">
      <c r="B37" s="100"/>
      <c r="C37" s="214" t="s">
        <v>8</v>
      </c>
      <c r="D37" s="215"/>
      <c r="E37" s="212">
        <f>SUM(K37,K38,P37,P38)</f>
        <v>3.9106145251396648E-2</v>
      </c>
      <c r="F37" s="233" t="s">
        <v>18</v>
      </c>
      <c r="G37" s="69"/>
      <c r="H37" s="244" t="s">
        <v>85</v>
      </c>
      <c r="I37" s="245"/>
      <c r="J37" s="245"/>
      <c r="K37" s="22">
        <f>(14-10.5)/(100-10.5)</f>
        <v>3.9106145251396648E-2</v>
      </c>
      <c r="L37" s="105">
        <v>0</v>
      </c>
      <c r="N37" s="242" t="s">
        <v>9</v>
      </c>
      <c r="O37" s="243"/>
      <c r="P37" s="22">
        <f>Q37/1000</f>
        <v>0</v>
      </c>
      <c r="Q37" s="105">
        <v>0</v>
      </c>
      <c r="R37" s="101"/>
    </row>
    <row r="38" spans="2:18" s="25" customFormat="1" ht="16.5" customHeight="1" x14ac:dyDescent="0.25">
      <c r="B38" s="100"/>
      <c r="C38" s="216"/>
      <c r="D38" s="217"/>
      <c r="E38" s="213"/>
      <c r="F38" s="233"/>
      <c r="G38" s="69"/>
      <c r="H38" s="246" t="s">
        <v>84</v>
      </c>
      <c r="I38" s="247"/>
      <c r="J38" s="247"/>
      <c r="K38" s="22">
        <f>L38/1000</f>
        <v>0</v>
      </c>
      <c r="L38" s="105">
        <v>0</v>
      </c>
      <c r="N38" s="242" t="s">
        <v>10</v>
      </c>
      <c r="O38" s="243"/>
      <c r="P38" s="22">
        <f>Q38/1000</f>
        <v>0</v>
      </c>
      <c r="Q38" s="105">
        <v>0</v>
      </c>
      <c r="R38" s="101"/>
    </row>
    <row r="39" spans="2:18" s="25" customFormat="1" ht="6.75" customHeight="1" x14ac:dyDescent="0.25">
      <c r="B39" s="33"/>
      <c r="C39" s="34"/>
      <c r="D39" s="34"/>
      <c r="E39" s="34"/>
      <c r="F39" s="34"/>
      <c r="G39" s="102"/>
      <c r="H39" s="16"/>
      <c r="I39" s="34"/>
      <c r="J39" s="34"/>
      <c r="K39" s="34"/>
      <c r="L39" s="34"/>
      <c r="M39" s="34"/>
      <c r="N39" s="34"/>
      <c r="O39" s="103"/>
      <c r="P39" s="104"/>
      <c r="Q39" s="37"/>
      <c r="R39" s="39"/>
    </row>
    <row r="40" spans="2:18" s="25" customFormat="1" ht="7.5" customHeight="1" x14ac:dyDescent="0.25">
      <c r="B40" s="85"/>
      <c r="G40" s="70"/>
      <c r="H40" s="1"/>
      <c r="I40" s="85"/>
      <c r="J40" s="85"/>
      <c r="K40" s="85"/>
      <c r="L40" s="85"/>
      <c r="M40" s="85"/>
      <c r="N40" s="85"/>
      <c r="O40" s="86"/>
      <c r="P40" s="87"/>
      <c r="Q40" s="88"/>
      <c r="R40" s="88"/>
    </row>
    <row r="41" spans="2:18" x14ac:dyDescent="0.25">
      <c r="B41" s="190" t="s">
        <v>29</v>
      </c>
      <c r="C41" s="190"/>
      <c r="D41" s="190"/>
    </row>
    <row r="42" spans="2:18" ht="6.75" customHeight="1" x14ac:dyDescent="0.25">
      <c r="B42" s="9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1"/>
    </row>
    <row r="43" spans="2:18" ht="19.5" customHeight="1" x14ac:dyDescent="0.25">
      <c r="B43" s="12"/>
      <c r="C43" s="224" t="s">
        <v>32</v>
      </c>
      <c r="D43" s="224"/>
      <c r="E43" s="239">
        <f>E89/E56</f>
        <v>3.2488402478083468E-2</v>
      </c>
      <c r="F43" s="13"/>
      <c r="G43" s="224" t="s">
        <v>49</v>
      </c>
      <c r="H43" s="224"/>
      <c r="I43" s="240">
        <f>F60+F76-F58</f>
        <v>533.20027097926913</v>
      </c>
      <c r="J43" s="240"/>
      <c r="K43" s="236">
        <f>I43*$E$20</f>
        <v>4158.9621136382993</v>
      </c>
      <c r="L43" s="241">
        <f>I43/E10-1</f>
        <v>-0.13999956293666271</v>
      </c>
      <c r="M43" s="224" t="s">
        <v>51</v>
      </c>
      <c r="N43" s="224"/>
      <c r="O43" s="225">
        <f>E56-SUM(E62:E75,E76)</f>
        <v>314.67674566938103</v>
      </c>
      <c r="P43" s="236">
        <f>O43*$E$20</f>
        <v>2454.4786162211722</v>
      </c>
      <c r="Q43" s="241">
        <f>O43/E14-1</f>
        <v>-5.785405488209272E-2</v>
      </c>
      <c r="R43" s="14"/>
    </row>
    <row r="44" spans="2:18" ht="15" customHeight="1" x14ac:dyDescent="0.25">
      <c r="B44" s="12"/>
      <c r="C44" s="224"/>
      <c r="D44" s="224"/>
      <c r="E44" s="239"/>
      <c r="F44" s="13"/>
      <c r="G44" s="224"/>
      <c r="H44" s="224"/>
      <c r="I44" s="240"/>
      <c r="J44" s="240"/>
      <c r="K44" s="236"/>
      <c r="L44" s="241"/>
      <c r="M44" s="224"/>
      <c r="N44" s="224"/>
      <c r="O44" s="225"/>
      <c r="P44" s="236"/>
      <c r="Q44" s="241"/>
      <c r="R44" s="14"/>
    </row>
    <row r="45" spans="2:18" ht="6.75" customHeight="1" x14ac:dyDescent="0.25">
      <c r="B45" s="12"/>
      <c r="C45" s="13"/>
      <c r="D45" s="13"/>
      <c r="E45" s="13"/>
      <c r="F45" s="13"/>
      <c r="G45" s="13"/>
      <c r="H45" s="13"/>
      <c r="J45" s="72"/>
      <c r="K45" s="73"/>
      <c r="L45" s="117"/>
      <c r="M45" s="13"/>
      <c r="Q45" s="13"/>
      <c r="R45" s="14"/>
    </row>
    <row r="46" spans="2:18" ht="19.5" customHeight="1" x14ac:dyDescent="0.25">
      <c r="B46" s="12"/>
      <c r="C46" s="224" t="s">
        <v>52</v>
      </c>
      <c r="D46" s="224"/>
      <c r="E46" s="237">
        <f>H76/(E56-E60)</f>
        <v>502.05586726047551</v>
      </c>
      <c r="F46" s="13"/>
      <c r="G46" s="224" t="s">
        <v>50</v>
      </c>
      <c r="H46" s="224"/>
      <c r="I46" s="224"/>
      <c r="J46" s="225">
        <f>G60+G76-G57</f>
        <v>319.86981155476474</v>
      </c>
      <c r="K46" s="236">
        <f>J46*$E$20</f>
        <v>2494.9845301271648</v>
      </c>
      <c r="L46" s="241">
        <f>J46/(E12*L15+E14*L17)-1</f>
        <v>-4.2305953428848131E-2</v>
      </c>
      <c r="M46" s="224" t="s">
        <v>32</v>
      </c>
      <c r="N46" s="224"/>
      <c r="O46" s="225">
        <f>E89</f>
        <v>11.67674566938102</v>
      </c>
      <c r="P46" s="236">
        <f>O46*$E$20</f>
        <v>91.078616221171956</v>
      </c>
      <c r="R46" s="14"/>
    </row>
    <row r="47" spans="2:18" ht="15" customHeight="1" x14ac:dyDescent="0.25">
      <c r="B47" s="12"/>
      <c r="C47" s="224"/>
      <c r="D47" s="224"/>
      <c r="E47" s="237"/>
      <c r="F47" s="13"/>
      <c r="G47" s="224"/>
      <c r="H47" s="224"/>
      <c r="I47" s="224"/>
      <c r="J47" s="225"/>
      <c r="K47" s="236"/>
      <c r="L47" s="241"/>
      <c r="M47" s="224"/>
      <c r="N47" s="224"/>
      <c r="O47" s="225"/>
      <c r="P47" s="236"/>
      <c r="R47" s="14"/>
    </row>
    <row r="48" spans="2:18" s="107" customFormat="1" ht="6.75" customHeight="1" x14ac:dyDescent="0.25">
      <c r="B48" s="108"/>
      <c r="C48" s="109"/>
      <c r="D48" s="109"/>
      <c r="E48" s="110"/>
      <c r="F48" s="111"/>
      <c r="G48" s="109"/>
      <c r="H48" s="109"/>
      <c r="I48" s="109"/>
      <c r="J48" s="112"/>
      <c r="K48" s="113"/>
      <c r="L48" s="114"/>
      <c r="M48" s="109"/>
      <c r="N48" s="109"/>
      <c r="O48" s="112"/>
      <c r="P48" s="113"/>
      <c r="R48" s="115"/>
    </row>
    <row r="49" spans="2:18" ht="15" customHeight="1" x14ac:dyDescent="0.25">
      <c r="B49" s="12"/>
      <c r="C49" s="224" t="s">
        <v>83</v>
      </c>
      <c r="D49" s="224"/>
      <c r="E49" s="225">
        <f>F49/E20</f>
        <v>327.14102564102569</v>
      </c>
      <c r="F49" s="236">
        <f>G17+G30</f>
        <v>2551.7000000000003</v>
      </c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R49" s="14"/>
    </row>
    <row r="50" spans="2:18" ht="20.25" customHeight="1" x14ac:dyDescent="0.25">
      <c r="B50" s="12"/>
      <c r="C50" s="224"/>
      <c r="D50" s="224"/>
      <c r="E50" s="225"/>
      <c r="F50" s="236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R50" s="14"/>
    </row>
    <row r="51" spans="2:18" ht="6.75" customHeight="1" x14ac:dyDescent="0.25">
      <c r="B51" s="15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7"/>
    </row>
    <row r="52" spans="2:18" x14ac:dyDescent="0.25"/>
    <row r="53" spans="2:18" s="4" customFormat="1" ht="9" customHeight="1" x14ac:dyDescent="0.25"/>
    <row r="54" spans="2:18" outlineLevel="1" x14ac:dyDescent="0.25"/>
    <row r="55" spans="2:18" s="42" customFormat="1" ht="24" outlineLevel="1" x14ac:dyDescent="0.2">
      <c r="E55" s="46" t="s">
        <v>35</v>
      </c>
      <c r="F55" s="47" t="s">
        <v>36</v>
      </c>
      <c r="G55" s="47" t="s">
        <v>37</v>
      </c>
      <c r="H55" s="48" t="s">
        <v>31</v>
      </c>
      <c r="J55" s="46" t="s">
        <v>53</v>
      </c>
      <c r="K55" s="47" t="s">
        <v>54</v>
      </c>
      <c r="L55" s="47" t="s">
        <v>55</v>
      </c>
      <c r="M55" s="48" t="s">
        <v>56</v>
      </c>
      <c r="O55" s="74" t="s">
        <v>62</v>
      </c>
      <c r="P55" s="74" t="s">
        <v>59</v>
      </c>
    </row>
    <row r="56" spans="2:18" s="42" customFormat="1" ht="12" outlineLevel="1" x14ac:dyDescent="0.2">
      <c r="B56" s="52" t="s">
        <v>33</v>
      </c>
      <c r="C56" s="53"/>
      <c r="D56" s="53"/>
      <c r="E56" s="54">
        <f t="shared" ref="E56:E61" si="4">H56/$L$20</f>
        <v>359.41273743016762</v>
      </c>
      <c r="F56" s="55">
        <f t="shared" ref="F56:F88" si="5">H56/($L$20*(1-$E$37)*$L$10)</f>
        <v>2671.7142857142858</v>
      </c>
      <c r="G56" s="55">
        <f t="shared" ref="G56:G88" si="6">H56/($L$20*(1-$E$37)*$L$12)</f>
        <v>434.93023255813955</v>
      </c>
      <c r="H56" s="56">
        <f>SUM(H57:H59)</f>
        <v>233618.27932960895</v>
      </c>
      <c r="J56" s="54">
        <f>E56*$E$20</f>
        <v>2803.4193519553073</v>
      </c>
      <c r="K56" s="55">
        <f t="shared" ref="K56:K89" si="7">F56*$E$20</f>
        <v>20839.371428571427</v>
      </c>
      <c r="L56" s="55">
        <f t="shared" ref="L56:L89" si="8">G56*$E$20</f>
        <v>3392.4558139534884</v>
      </c>
      <c r="M56" s="56">
        <f t="shared" ref="M56:M89" si="9">H56*$E$20</f>
        <v>1822222.5787709497</v>
      </c>
      <c r="O56" s="76"/>
      <c r="P56" s="76"/>
    </row>
    <row r="57" spans="2:18" s="42" customFormat="1" ht="12" outlineLevel="1" x14ac:dyDescent="0.2">
      <c r="B57" s="44" t="s">
        <v>38</v>
      </c>
      <c r="C57" s="45" t="s">
        <v>34</v>
      </c>
      <c r="D57" s="45"/>
      <c r="E57" s="49">
        <f t="shared" si="4"/>
        <v>83.405586592178778</v>
      </c>
      <c r="F57" s="50">
        <f t="shared" si="5"/>
        <v>620</v>
      </c>
      <c r="G57" s="50">
        <f t="shared" si="6"/>
        <v>100.93023255813955</v>
      </c>
      <c r="H57" s="51">
        <f>$L$20*(1-$E$37)*L10*E10</f>
        <v>54213.631284916206</v>
      </c>
      <c r="J57" s="49">
        <f t="shared" ref="J57:J89" si="10">E57*$E$20</f>
        <v>650.56357541899445</v>
      </c>
      <c r="K57" s="50">
        <f t="shared" si="7"/>
        <v>4836</v>
      </c>
      <c r="L57" s="50">
        <f t="shared" si="8"/>
        <v>787.25581395348843</v>
      </c>
      <c r="M57" s="51">
        <f t="shared" si="9"/>
        <v>422866.32402234641</v>
      </c>
      <c r="O57" s="76"/>
      <c r="P57" s="76"/>
    </row>
    <row r="58" spans="2:18" s="42" customFormat="1" ht="12" outlineLevel="1" x14ac:dyDescent="0.2">
      <c r="B58" s="44" t="s">
        <v>38</v>
      </c>
      <c r="C58" s="45" t="s">
        <v>6</v>
      </c>
      <c r="D58" s="45"/>
      <c r="E58" s="49">
        <f t="shared" si="4"/>
        <v>276.00715083798883</v>
      </c>
      <c r="F58" s="50">
        <f t="shared" si="5"/>
        <v>2051.7142857142858</v>
      </c>
      <c r="G58" s="50">
        <f t="shared" si="6"/>
        <v>334</v>
      </c>
      <c r="H58" s="51">
        <f>$L$20*(1-$E$37)*L12*E12</f>
        <v>179404.64804469273</v>
      </c>
      <c r="J58" s="49">
        <f t="shared" si="10"/>
        <v>2152.855776536313</v>
      </c>
      <c r="K58" s="50">
        <f t="shared" si="7"/>
        <v>16003.371428571429</v>
      </c>
      <c r="L58" s="50">
        <f t="shared" si="8"/>
        <v>2605.1999999999998</v>
      </c>
      <c r="M58" s="51">
        <f t="shared" si="9"/>
        <v>1399356.2547486033</v>
      </c>
      <c r="O58" s="76"/>
      <c r="P58" s="76"/>
    </row>
    <row r="59" spans="2:18" s="42" customFormat="1" ht="12" outlineLevel="1" x14ac:dyDescent="0.2">
      <c r="B59" s="44" t="s">
        <v>38</v>
      </c>
      <c r="C59" s="45" t="s">
        <v>21</v>
      </c>
      <c r="D59" s="45"/>
      <c r="E59" s="49">
        <f t="shared" si="4"/>
        <v>0</v>
      </c>
      <c r="F59" s="50">
        <f t="shared" si="5"/>
        <v>0</v>
      </c>
      <c r="G59" s="50">
        <f t="shared" si="6"/>
        <v>0</v>
      </c>
      <c r="H59" s="51">
        <f>$L$20*(1-$E$37)*L12*E14*L17</f>
        <v>0</v>
      </c>
      <c r="J59" s="49">
        <f t="shared" si="10"/>
        <v>0</v>
      </c>
      <c r="K59" s="50">
        <f t="shared" si="7"/>
        <v>0</v>
      </c>
      <c r="L59" s="50">
        <f t="shared" si="8"/>
        <v>0</v>
      </c>
      <c r="M59" s="51">
        <f t="shared" si="9"/>
        <v>0</v>
      </c>
      <c r="O59" s="76"/>
      <c r="P59" s="76"/>
    </row>
    <row r="60" spans="2:18" s="42" customFormat="1" ht="12" outlineLevel="1" x14ac:dyDescent="0.2">
      <c r="B60" s="57" t="s">
        <v>28</v>
      </c>
      <c r="C60" s="58"/>
      <c r="D60" s="58"/>
      <c r="E60" s="54">
        <f t="shared" si="4"/>
        <v>308.11036710595425</v>
      </c>
      <c r="F60" s="55">
        <f t="shared" si="5"/>
        <v>2290.3553036530652</v>
      </c>
      <c r="G60" s="55">
        <f t="shared" si="6"/>
        <v>372.84853780398737</v>
      </c>
      <c r="H60" s="56">
        <f>SUM(H61:H75)</f>
        <v>200271.73861887027</v>
      </c>
      <c r="J60" s="54">
        <f t="shared" si="10"/>
        <v>2403.2608634264429</v>
      </c>
      <c r="K60" s="55">
        <f t="shared" si="7"/>
        <v>17864.771368493908</v>
      </c>
      <c r="L60" s="55">
        <f t="shared" si="8"/>
        <v>2908.2185948711012</v>
      </c>
      <c r="M60" s="56">
        <f t="shared" si="9"/>
        <v>1562119.561227188</v>
      </c>
      <c r="O60" s="76"/>
      <c r="P60" s="76"/>
    </row>
    <row r="61" spans="2:18" s="42" customFormat="1" ht="12" outlineLevel="1" x14ac:dyDescent="0.2">
      <c r="B61" s="44" t="s">
        <v>38</v>
      </c>
      <c r="C61" s="45" t="s">
        <v>39</v>
      </c>
      <c r="D61" s="45"/>
      <c r="E61" s="49">
        <f t="shared" si="4"/>
        <v>303</v>
      </c>
      <c r="F61" s="50">
        <f t="shared" si="5"/>
        <v>2252.3671096345515</v>
      </c>
      <c r="G61" s="50">
        <f t="shared" si="6"/>
        <v>366.66441319632236</v>
      </c>
      <c r="H61" s="51">
        <f>E17*L20</f>
        <v>196950</v>
      </c>
      <c r="J61" s="49">
        <f t="shared" si="10"/>
        <v>2363.4</v>
      </c>
      <c r="K61" s="50">
        <f t="shared" si="7"/>
        <v>17568.4634551495</v>
      </c>
      <c r="L61" s="50">
        <f t="shared" si="8"/>
        <v>2859.9824229313144</v>
      </c>
      <c r="M61" s="51">
        <f t="shared" si="9"/>
        <v>1536210</v>
      </c>
      <c r="O61" s="76"/>
      <c r="P61" s="76"/>
    </row>
    <row r="62" spans="2:18" s="42" customFormat="1" ht="12" outlineLevel="1" x14ac:dyDescent="0.2">
      <c r="B62" s="44" t="s">
        <v>38</v>
      </c>
      <c r="C62" s="45" t="s">
        <v>64</v>
      </c>
      <c r="D62" s="45"/>
      <c r="E62" s="49">
        <f t="shared" ref="E62:E63" si="11">H62/$L$20</f>
        <v>0</v>
      </c>
      <c r="F62" s="50">
        <f t="shared" si="5"/>
        <v>0</v>
      </c>
      <c r="G62" s="50">
        <f t="shared" si="6"/>
        <v>0</v>
      </c>
      <c r="H62" s="51">
        <f>O62*P62</f>
        <v>0</v>
      </c>
      <c r="J62" s="49">
        <f t="shared" ref="J62:J65" si="12">E62*$E$20</f>
        <v>0</v>
      </c>
      <c r="K62" s="50">
        <f t="shared" ref="K62:K65" si="13">F62*$E$20</f>
        <v>0</v>
      </c>
      <c r="L62" s="50">
        <f t="shared" ref="L62:L65" si="14">G62*$E$20</f>
        <v>0</v>
      </c>
      <c r="M62" s="51">
        <f t="shared" ref="M62:M65" si="15">H62*$E$20</f>
        <v>0</v>
      </c>
      <c r="O62" s="77">
        <f>H61</f>
        <v>196950</v>
      </c>
      <c r="P62" s="80">
        <f>E32</f>
        <v>0</v>
      </c>
    </row>
    <row r="63" spans="2:18" s="42" customFormat="1" ht="12" outlineLevel="1" x14ac:dyDescent="0.2">
      <c r="B63" s="44" t="s">
        <v>38</v>
      </c>
      <c r="C63" s="45" t="s">
        <v>65</v>
      </c>
      <c r="D63" s="45"/>
      <c r="E63" s="49">
        <f t="shared" si="11"/>
        <v>0.41702793296089391</v>
      </c>
      <c r="F63" s="50">
        <f t="shared" si="5"/>
        <v>3.1000000000000005</v>
      </c>
      <c r="G63" s="50">
        <f t="shared" si="6"/>
        <v>0.50465116279069777</v>
      </c>
      <c r="H63" s="51">
        <f t="shared" ref="H63:H64" si="16">O63*P63</f>
        <v>271.06815642458105</v>
      </c>
      <c r="J63" s="49">
        <f t="shared" si="12"/>
        <v>3.2528178770949725</v>
      </c>
      <c r="K63" s="50">
        <f t="shared" si="13"/>
        <v>24.180000000000003</v>
      </c>
      <c r="L63" s="50">
        <f t="shared" si="14"/>
        <v>3.9362790697674424</v>
      </c>
      <c r="M63" s="51">
        <f t="shared" si="15"/>
        <v>2114.3316201117323</v>
      </c>
      <c r="O63" s="77">
        <f>H57</f>
        <v>54213.631284916206</v>
      </c>
      <c r="P63" s="80">
        <f>E33</f>
        <v>5.0000000000000001E-3</v>
      </c>
    </row>
    <row r="64" spans="2:18" s="42" customFormat="1" ht="12" outlineLevel="1" x14ac:dyDescent="0.2">
      <c r="B64" s="44" t="s">
        <v>38</v>
      </c>
      <c r="C64" s="45" t="s">
        <v>66</v>
      </c>
      <c r="D64" s="45"/>
      <c r="E64" s="49">
        <f t="shared" ref="E64:E88" si="17">H64/$L$20</f>
        <v>1.380035754189944</v>
      </c>
      <c r="F64" s="50">
        <f t="shared" si="5"/>
        <v>10.258571428571427</v>
      </c>
      <c r="G64" s="50">
        <f t="shared" si="6"/>
        <v>1.67</v>
      </c>
      <c r="H64" s="51">
        <f t="shared" si="16"/>
        <v>897.02324022346363</v>
      </c>
      <c r="J64" s="49">
        <f t="shared" si="12"/>
        <v>10.764278882681563</v>
      </c>
      <c r="K64" s="50">
        <f t="shared" si="13"/>
        <v>80.016857142857134</v>
      </c>
      <c r="L64" s="50">
        <f t="shared" si="14"/>
        <v>13.026</v>
      </c>
      <c r="M64" s="51">
        <f t="shared" si="15"/>
        <v>6996.7812737430158</v>
      </c>
      <c r="O64" s="77">
        <f>H58</f>
        <v>179404.64804469273</v>
      </c>
      <c r="P64" s="80">
        <f>E34</f>
        <v>5.0000000000000001E-3</v>
      </c>
    </row>
    <row r="65" spans="2:16" s="42" customFormat="1" ht="12" outlineLevel="1" x14ac:dyDescent="0.2">
      <c r="B65" s="44" t="s">
        <v>38</v>
      </c>
      <c r="C65" s="45" t="s">
        <v>78</v>
      </c>
      <c r="D65" s="45"/>
      <c r="E65" s="49">
        <f t="shared" ref="E65" si="18">H65/$L$20</f>
        <v>0</v>
      </c>
      <c r="F65" s="50">
        <f t="shared" si="5"/>
        <v>0</v>
      </c>
      <c r="G65" s="50">
        <f t="shared" si="6"/>
        <v>0</v>
      </c>
      <c r="H65" s="51">
        <f>O65*P65/$E$20</f>
        <v>0</v>
      </c>
      <c r="J65" s="49">
        <f t="shared" si="12"/>
        <v>0</v>
      </c>
      <c r="K65" s="50">
        <f t="shared" si="13"/>
        <v>0</v>
      </c>
      <c r="L65" s="50">
        <f t="shared" si="14"/>
        <v>0</v>
      </c>
      <c r="M65" s="51">
        <f t="shared" si="15"/>
        <v>0</v>
      </c>
      <c r="O65" s="77">
        <f>L20</f>
        <v>650</v>
      </c>
      <c r="P65" s="76">
        <f>G29</f>
        <v>0</v>
      </c>
    </row>
    <row r="66" spans="2:16" s="42" customFormat="1" ht="12" outlineLevel="1" x14ac:dyDescent="0.2">
      <c r="B66" s="44" t="s">
        <v>38</v>
      </c>
      <c r="C66" s="45" t="s">
        <v>117</v>
      </c>
      <c r="D66" s="45"/>
      <c r="E66" s="49">
        <f t="shared" ref="E66:E67" si="19">H66/$L$20</f>
        <v>0</v>
      </c>
      <c r="F66" s="50">
        <f t="shared" ref="F66:F67" si="20">H66/($L$20*(1-$E$37)*$L$10)</f>
        <v>0</v>
      </c>
      <c r="G66" s="50">
        <f t="shared" ref="G66:G67" si="21">H66/($L$20*(1-$E$37)*$L$12)</f>
        <v>0</v>
      </c>
      <c r="H66" s="51">
        <f>M66/$E$20</f>
        <v>0</v>
      </c>
      <c r="J66" s="49">
        <f t="shared" ref="J66:J67" si="22">E66*$E$20</f>
        <v>0</v>
      </c>
      <c r="K66" s="50">
        <f t="shared" ref="K66:K67" si="23">F66*$E$20</f>
        <v>0</v>
      </c>
      <c r="L66" s="50">
        <f t="shared" ref="L66:L67" si="24">G66*$E$20</f>
        <v>0</v>
      </c>
      <c r="M66" s="51">
        <f>L20*L10*G26*(1-E37)</f>
        <v>0</v>
      </c>
      <c r="O66" s="77"/>
      <c r="P66" s="76"/>
    </row>
    <row r="67" spans="2:16" s="42" customFormat="1" ht="12" outlineLevel="1" x14ac:dyDescent="0.2">
      <c r="B67" s="44" t="s">
        <v>38</v>
      </c>
      <c r="C67" s="45" t="s">
        <v>118</v>
      </c>
      <c r="D67" s="45"/>
      <c r="E67" s="49">
        <f t="shared" si="19"/>
        <v>0</v>
      </c>
      <c r="F67" s="50">
        <f t="shared" si="20"/>
        <v>0</v>
      </c>
      <c r="G67" s="50">
        <f t="shared" si="21"/>
        <v>0</v>
      </c>
      <c r="H67" s="51">
        <f>M67/$E$20</f>
        <v>0</v>
      </c>
      <c r="J67" s="49">
        <f t="shared" si="22"/>
        <v>0</v>
      </c>
      <c r="K67" s="50">
        <f t="shared" si="23"/>
        <v>0</v>
      </c>
      <c r="L67" s="50">
        <f t="shared" si="24"/>
        <v>0</v>
      </c>
      <c r="M67" s="51">
        <f>L20*L12*G27*(1-E37)</f>
        <v>0</v>
      </c>
      <c r="O67" s="77"/>
      <c r="P67" s="76"/>
    </row>
    <row r="68" spans="2:16" s="42" customFormat="1" ht="12" outlineLevel="1" x14ac:dyDescent="0.2">
      <c r="B68" s="44" t="s">
        <v>38</v>
      </c>
      <c r="C68" s="45" t="s">
        <v>86</v>
      </c>
      <c r="D68" s="45"/>
      <c r="E68" s="49">
        <f t="shared" ref="E68" si="25">H68/$L$20</f>
        <v>1.6666666666666665</v>
      </c>
      <c r="F68" s="50">
        <f t="shared" si="5"/>
        <v>12.389258028792911</v>
      </c>
      <c r="G68" s="50">
        <f t="shared" si="6"/>
        <v>2.0168559581755905</v>
      </c>
      <c r="H68" s="51">
        <f>O68*P68/$E$20</f>
        <v>1083.3333333333333</v>
      </c>
      <c r="J68" s="49">
        <f t="shared" ref="J68" si="26">E68*$E$20</f>
        <v>12.999999999999998</v>
      </c>
      <c r="K68" s="50">
        <f t="shared" ref="K68" si="27">F68*$E$20</f>
        <v>96.636212624584701</v>
      </c>
      <c r="L68" s="50">
        <f t="shared" ref="L68" si="28">G68*$E$20</f>
        <v>15.731476473769606</v>
      </c>
      <c r="M68" s="51">
        <f t="shared" ref="M68" si="29">H68*$E$20</f>
        <v>8450</v>
      </c>
      <c r="O68" s="77">
        <f>L20</f>
        <v>650</v>
      </c>
      <c r="P68" s="106">
        <f>G24</f>
        <v>13</v>
      </c>
    </row>
    <row r="69" spans="2:16" s="42" customFormat="1" ht="12" outlineLevel="1" x14ac:dyDescent="0.2">
      <c r="B69" s="44" t="s">
        <v>38</v>
      </c>
      <c r="C69" s="45" t="s">
        <v>89</v>
      </c>
      <c r="D69" s="45"/>
      <c r="E69" s="49">
        <f t="shared" ref="E69" si="30">H69/$L$20</f>
        <v>0</v>
      </c>
      <c r="F69" s="50">
        <f t="shared" si="5"/>
        <v>0</v>
      </c>
      <c r="G69" s="50">
        <f t="shared" si="6"/>
        <v>0</v>
      </c>
      <c r="H69" s="51">
        <f>O69*P69/$E$20</f>
        <v>0</v>
      </c>
      <c r="J69" s="49">
        <f t="shared" ref="J69" si="31">E69*$E$20</f>
        <v>0</v>
      </c>
      <c r="K69" s="50">
        <f t="shared" ref="K69" si="32">F69*$E$20</f>
        <v>0</v>
      </c>
      <c r="L69" s="50">
        <f t="shared" ref="L69" si="33">G69*$E$20</f>
        <v>0</v>
      </c>
      <c r="M69" s="51">
        <f t="shared" ref="M69" si="34">H69*$E$20</f>
        <v>0</v>
      </c>
      <c r="O69" s="77">
        <f>L28</f>
        <v>0</v>
      </c>
      <c r="P69" s="106">
        <f>L30*E20</f>
        <v>0</v>
      </c>
    </row>
    <row r="70" spans="2:16" s="42" customFormat="1" ht="12" outlineLevel="1" x14ac:dyDescent="0.2">
      <c r="B70" s="44" t="s">
        <v>38</v>
      </c>
      <c r="C70" s="45" t="s">
        <v>44</v>
      </c>
      <c r="D70" s="45"/>
      <c r="E70" s="49">
        <f t="shared" si="17"/>
        <v>0</v>
      </c>
      <c r="F70" s="50">
        <f t="shared" si="5"/>
        <v>0</v>
      </c>
      <c r="G70" s="50">
        <f t="shared" si="6"/>
        <v>0</v>
      </c>
      <c r="H70" s="51">
        <f>H56*O70</f>
        <v>0</v>
      </c>
      <c r="J70" s="49">
        <f t="shared" si="10"/>
        <v>0</v>
      </c>
      <c r="K70" s="50">
        <f t="shared" si="7"/>
        <v>0</v>
      </c>
      <c r="L70" s="50">
        <f t="shared" si="8"/>
        <v>0</v>
      </c>
      <c r="M70" s="51">
        <f t="shared" si="9"/>
        <v>0</v>
      </c>
      <c r="O70" s="76"/>
      <c r="P70" s="76"/>
    </row>
    <row r="71" spans="2:16" s="42" customFormat="1" ht="12" outlineLevel="1" x14ac:dyDescent="0.2">
      <c r="B71" s="44" t="s">
        <v>38</v>
      </c>
      <c r="C71" s="45" t="s">
        <v>45</v>
      </c>
      <c r="D71" s="45"/>
      <c r="E71" s="49">
        <f t="shared" si="17"/>
        <v>0</v>
      </c>
      <c r="F71" s="50">
        <f t="shared" si="5"/>
        <v>0</v>
      </c>
      <c r="G71" s="50">
        <f t="shared" si="6"/>
        <v>0</v>
      </c>
      <c r="H71" s="51">
        <f>H56*O71</f>
        <v>0</v>
      </c>
      <c r="J71" s="49">
        <f t="shared" si="10"/>
        <v>0</v>
      </c>
      <c r="K71" s="50">
        <f t="shared" si="7"/>
        <v>0</v>
      </c>
      <c r="L71" s="50">
        <f t="shared" si="8"/>
        <v>0</v>
      </c>
      <c r="M71" s="51">
        <f t="shared" si="9"/>
        <v>0</v>
      </c>
      <c r="O71" s="76"/>
      <c r="P71" s="76"/>
    </row>
    <row r="72" spans="2:16" s="42" customFormat="1" ht="12" outlineLevel="1" x14ac:dyDescent="0.2">
      <c r="B72" s="44" t="s">
        <v>38</v>
      </c>
      <c r="C72" s="45" t="s">
        <v>40</v>
      </c>
      <c r="D72" s="45"/>
      <c r="E72" s="49">
        <f t="shared" si="17"/>
        <v>1.5483461538461538</v>
      </c>
      <c r="F72" s="50">
        <f t="shared" si="5"/>
        <v>11.509716010733452</v>
      </c>
      <c r="G72" s="50">
        <f t="shared" si="6"/>
        <v>1.8736746994217248</v>
      </c>
      <c r="H72" s="51">
        <f>O72*P72/$E$20</f>
        <v>1006.425</v>
      </c>
      <c r="J72" s="49">
        <f t="shared" si="10"/>
        <v>12.0771</v>
      </c>
      <c r="K72" s="50">
        <f t="shared" si="7"/>
        <v>89.775784883720931</v>
      </c>
      <c r="L72" s="50">
        <f t="shared" si="8"/>
        <v>14.614662655489454</v>
      </c>
      <c r="M72" s="51">
        <f t="shared" si="9"/>
        <v>7850.1149999999998</v>
      </c>
      <c r="O72" s="78">
        <f>57.51*L24</f>
        <v>37381.5</v>
      </c>
      <c r="P72" s="76">
        <v>0.21</v>
      </c>
    </row>
    <row r="73" spans="2:16" s="42" customFormat="1" ht="12" outlineLevel="1" x14ac:dyDescent="0.2">
      <c r="B73" s="44" t="s">
        <v>38</v>
      </c>
      <c r="C73" s="45" t="s">
        <v>41</v>
      </c>
      <c r="D73" s="45"/>
      <c r="E73" s="49">
        <f t="shared" si="17"/>
        <v>0</v>
      </c>
      <c r="F73" s="50">
        <f t="shared" si="5"/>
        <v>0</v>
      </c>
      <c r="G73" s="50">
        <f t="shared" si="6"/>
        <v>0</v>
      </c>
      <c r="H73" s="51">
        <f>O73*P73/$E$20</f>
        <v>0</v>
      </c>
      <c r="J73" s="49">
        <f t="shared" si="10"/>
        <v>0</v>
      </c>
      <c r="K73" s="50">
        <f t="shared" si="7"/>
        <v>0</v>
      </c>
      <c r="L73" s="50">
        <f t="shared" si="8"/>
        <v>0</v>
      </c>
      <c r="M73" s="51">
        <f t="shared" si="9"/>
        <v>0</v>
      </c>
      <c r="O73" s="78">
        <f>57.51*L25</f>
        <v>0</v>
      </c>
      <c r="P73" s="76">
        <v>0.35</v>
      </c>
    </row>
    <row r="74" spans="2:16" s="42" customFormat="1" ht="12" outlineLevel="1" x14ac:dyDescent="0.2">
      <c r="B74" s="44" t="s">
        <v>38</v>
      </c>
      <c r="C74" s="45" t="s">
        <v>60</v>
      </c>
      <c r="D74" s="45"/>
      <c r="E74" s="49">
        <f t="shared" si="17"/>
        <v>9.8290598290598274E-2</v>
      </c>
      <c r="F74" s="50">
        <f t="shared" si="5"/>
        <v>0.73064855041599219</v>
      </c>
      <c r="G74" s="50">
        <f t="shared" si="6"/>
        <v>0.11894278727702198</v>
      </c>
      <c r="H74" s="81">
        <f>O74*P74/$E$20</f>
        <v>63.888888888888879</v>
      </c>
      <c r="J74" s="49">
        <f t="shared" ref="J74" si="35">E74*$E$20</f>
        <v>0.7666666666666665</v>
      </c>
      <c r="K74" s="50">
        <f t="shared" ref="K74" si="36">F74*$E$20</f>
        <v>5.6990586932447389</v>
      </c>
      <c r="L74" s="50">
        <f t="shared" ref="L74" si="37">G74*$E$20</f>
        <v>0.92775374076077144</v>
      </c>
      <c r="M74" s="51">
        <f t="shared" ref="M74" si="38">H74*$E$20</f>
        <v>498.33333333333326</v>
      </c>
      <c r="O74" s="76">
        <f>MIN(L24,750)/1.5</f>
        <v>433.33333333333331</v>
      </c>
      <c r="P74" s="76">
        <f>1*1.15</f>
        <v>1.1499999999999999</v>
      </c>
    </row>
    <row r="75" spans="2:16" s="42" customFormat="1" ht="12" outlineLevel="1" x14ac:dyDescent="0.2">
      <c r="B75" s="44" t="s">
        <v>38</v>
      </c>
      <c r="C75" s="45" t="s">
        <v>61</v>
      </c>
      <c r="D75" s="45"/>
      <c r="E75" s="49">
        <f t="shared" si="17"/>
        <v>0</v>
      </c>
      <c r="F75" s="50">
        <f t="shared" si="5"/>
        <v>0</v>
      </c>
      <c r="G75" s="50">
        <f t="shared" si="6"/>
        <v>0</v>
      </c>
      <c r="H75" s="81">
        <f>O75*P75/$E$20</f>
        <v>0</v>
      </c>
      <c r="J75" s="49">
        <f t="shared" ref="J75" si="39">E75*$E$20</f>
        <v>0</v>
      </c>
      <c r="K75" s="50">
        <f t="shared" ref="K75" si="40">F75*$E$20</f>
        <v>0</v>
      </c>
      <c r="L75" s="50">
        <f t="shared" ref="L75" si="41">G75*$E$20</f>
        <v>0</v>
      </c>
      <c r="M75" s="51">
        <f t="shared" ref="M75" si="42">H75*$E$20</f>
        <v>0</v>
      </c>
      <c r="O75" s="78">
        <f>MAX(0,((L20-(O74*1.5))/1.5))</f>
        <v>0</v>
      </c>
      <c r="P75" s="76">
        <f>0.6*1.15</f>
        <v>0.69</v>
      </c>
    </row>
    <row r="76" spans="2:16" s="42" customFormat="1" ht="12" outlineLevel="1" x14ac:dyDescent="0.2">
      <c r="B76" s="57" t="s">
        <v>27</v>
      </c>
      <c r="C76" s="58"/>
      <c r="D76" s="58"/>
      <c r="E76" s="54">
        <f t="shared" si="17"/>
        <v>39.62562465483235</v>
      </c>
      <c r="F76" s="55">
        <f t="shared" si="5"/>
        <v>294.55925304048964</v>
      </c>
      <c r="G76" s="55">
        <f t="shared" si="6"/>
        <v>47.951506308916919</v>
      </c>
      <c r="H76" s="82">
        <f>SUM(H77:H88)</f>
        <v>25756.656025641027</v>
      </c>
      <c r="J76" s="54">
        <f t="shared" si="10"/>
        <v>309.07987230769231</v>
      </c>
      <c r="K76" s="55">
        <f t="shared" si="7"/>
        <v>2297.562173715819</v>
      </c>
      <c r="L76" s="55">
        <f t="shared" si="8"/>
        <v>374.02174920955196</v>
      </c>
      <c r="M76" s="56">
        <f t="shared" si="9"/>
        <v>200901.91700000002</v>
      </c>
      <c r="O76" s="76"/>
      <c r="P76" s="76"/>
    </row>
    <row r="77" spans="2:16" s="42" customFormat="1" ht="12" outlineLevel="1" x14ac:dyDescent="0.2">
      <c r="B77" s="44" t="s">
        <v>38</v>
      </c>
      <c r="C77" s="45" t="s">
        <v>57</v>
      </c>
      <c r="D77" s="45"/>
      <c r="E77" s="49">
        <f t="shared" si="17"/>
        <v>6.1714579881656793</v>
      </c>
      <c r="F77" s="50">
        <f t="shared" si="5"/>
        <v>45.875871257543878</v>
      </c>
      <c r="G77" s="50">
        <f t="shared" si="6"/>
        <v>7.4681650884373765</v>
      </c>
      <c r="H77" s="51">
        <f>O77*P77/$E$20</f>
        <v>4011.4476923076918</v>
      </c>
      <c r="J77" s="49">
        <f t="shared" si="10"/>
        <v>48.137372307692296</v>
      </c>
      <c r="K77" s="50">
        <f t="shared" si="7"/>
        <v>357.83179580884223</v>
      </c>
      <c r="L77" s="50">
        <f t="shared" si="8"/>
        <v>58.251687689811533</v>
      </c>
      <c r="M77" s="51">
        <f t="shared" si="9"/>
        <v>31289.291999999994</v>
      </c>
      <c r="O77" s="76">
        <v>4</v>
      </c>
      <c r="P77" s="76">
        <f>(3816*1.55)*1.15*1.15</f>
        <v>7822.3229999999985</v>
      </c>
    </row>
    <row r="78" spans="2:16" s="42" customFormat="1" ht="12" outlineLevel="1" x14ac:dyDescent="0.2">
      <c r="B78" s="44" t="s">
        <v>38</v>
      </c>
      <c r="C78" s="45" t="s">
        <v>58</v>
      </c>
      <c r="D78" s="45"/>
      <c r="E78" s="49">
        <f t="shared" si="17"/>
        <v>1.4007544378698222</v>
      </c>
      <c r="F78" s="50">
        <f t="shared" si="5"/>
        <v>10.412584899447598</v>
      </c>
      <c r="G78" s="50">
        <f t="shared" si="6"/>
        <v>1.6950719603751905</v>
      </c>
      <c r="H78" s="51">
        <f>O78*P78/$E$20</f>
        <v>910.49038461538441</v>
      </c>
      <c r="J78" s="49">
        <f t="shared" ref="J78" si="43">E78*$E$20</f>
        <v>10.925884615384613</v>
      </c>
      <c r="K78" s="50">
        <f t="shared" ref="K78" si="44">F78*$E$20</f>
        <v>81.218162215691265</v>
      </c>
      <c r="L78" s="50">
        <f t="shared" ref="L78" si="45">G78*$E$20</f>
        <v>13.221561290926486</v>
      </c>
      <c r="M78" s="51">
        <f t="shared" ref="M78" si="46">H78*$E$20</f>
        <v>7101.824999999998</v>
      </c>
      <c r="O78" s="76">
        <v>1</v>
      </c>
      <c r="P78" s="76">
        <f>(4000+600+770)*1.15*1.15</f>
        <v>7101.824999999998</v>
      </c>
    </row>
    <row r="79" spans="2:16" s="42" customFormat="1" ht="12" outlineLevel="1" x14ac:dyDescent="0.2">
      <c r="B79" s="44" t="s">
        <v>38</v>
      </c>
      <c r="C79" s="45" t="s">
        <v>129</v>
      </c>
      <c r="D79" s="45"/>
      <c r="E79" s="49">
        <f t="shared" ref="E79" si="47">H79/$L$20</f>
        <v>2.7613412228796843</v>
      </c>
      <c r="F79" s="50">
        <f t="shared" ref="F79" si="48">H79/($L$20*(1-$E$37)*$L$10)</f>
        <v>20.526581349479383</v>
      </c>
      <c r="G79" s="50">
        <f t="shared" ref="G79" si="49">H79/($L$20*(1-$E$37)*$L$12)</f>
        <v>3.3415364987524576</v>
      </c>
      <c r="H79" s="51">
        <f>O79*P79/$E$20</f>
        <v>1794.8717948717949</v>
      </c>
      <c r="J79" s="49">
        <f t="shared" ref="J79" si="50">E79*$E$20</f>
        <v>21.538461538461537</v>
      </c>
      <c r="K79" s="50">
        <f t="shared" ref="K79" si="51">F79*$E$20</f>
        <v>160.10733452593917</v>
      </c>
      <c r="L79" s="50">
        <f t="shared" ref="L79" si="52">G79*$E$20</f>
        <v>26.063984690269169</v>
      </c>
      <c r="M79" s="51">
        <f t="shared" ref="M79" si="53">H79*$E$20</f>
        <v>14000</v>
      </c>
      <c r="O79" s="76">
        <v>1</v>
      </c>
      <c r="P79" s="76">
        <v>14000</v>
      </c>
    </row>
    <row r="80" spans="2:16" s="42" customFormat="1" ht="12" outlineLevel="1" x14ac:dyDescent="0.2">
      <c r="B80" s="44" t="s">
        <v>38</v>
      </c>
      <c r="C80" s="45" t="s">
        <v>102</v>
      </c>
      <c r="D80" s="45"/>
      <c r="E80" s="49">
        <f t="shared" si="17"/>
        <v>1.8224852071005919</v>
      </c>
      <c r="F80" s="50">
        <f t="shared" si="5"/>
        <v>13.547543690656394</v>
      </c>
      <c r="G80" s="50">
        <f t="shared" si="6"/>
        <v>2.2054140891766223</v>
      </c>
      <c r="H80" s="51">
        <f>P80*O80/$E$20</f>
        <v>1184.6153846153848</v>
      </c>
      <c r="J80" s="49">
        <f t="shared" si="10"/>
        <v>14.215384615384616</v>
      </c>
      <c r="K80" s="50">
        <f t="shared" si="7"/>
        <v>105.67084078711987</v>
      </c>
      <c r="L80" s="50">
        <f t="shared" si="8"/>
        <v>17.202229895577652</v>
      </c>
      <c r="M80" s="51">
        <f t="shared" si="9"/>
        <v>9240</v>
      </c>
      <c r="O80" s="76">
        <v>330</v>
      </c>
      <c r="P80" s="78">
        <v>28</v>
      </c>
    </row>
    <row r="81" spans="2:16" s="42" customFormat="1" ht="12" outlineLevel="1" x14ac:dyDescent="0.2">
      <c r="B81" s="44" t="s">
        <v>38</v>
      </c>
      <c r="C81" s="45" t="s">
        <v>70</v>
      </c>
      <c r="D81" s="45"/>
      <c r="E81" s="49">
        <f t="shared" si="17"/>
        <v>2.8106508875739644</v>
      </c>
      <c r="F81" s="50">
        <f t="shared" si="5"/>
        <v>20.893127445005799</v>
      </c>
      <c r="G81" s="50">
        <f t="shared" si="6"/>
        <v>3.4012067933730372</v>
      </c>
      <c r="H81" s="51">
        <f>P81*O81/$E$20</f>
        <v>1826.9230769230769</v>
      </c>
      <c r="J81" s="49">
        <f t="shared" si="10"/>
        <v>21.923076923076923</v>
      </c>
      <c r="K81" s="50">
        <f t="shared" si="7"/>
        <v>162.96639407104522</v>
      </c>
      <c r="L81" s="50">
        <f t="shared" si="8"/>
        <v>26.529412988309691</v>
      </c>
      <c r="M81" s="51">
        <f t="shared" si="9"/>
        <v>14250</v>
      </c>
      <c r="O81" s="76">
        <v>15</v>
      </c>
      <c r="P81" s="78">
        <v>950</v>
      </c>
    </row>
    <row r="82" spans="2:16" s="42" customFormat="1" ht="12" outlineLevel="1" x14ac:dyDescent="0.2">
      <c r="B82" s="44" t="s">
        <v>71</v>
      </c>
      <c r="C82" s="45" t="s">
        <v>72</v>
      </c>
      <c r="D82" s="45"/>
      <c r="E82" s="49">
        <f t="shared" ref="E82" si="54">H82/$L$20</f>
        <v>0</v>
      </c>
      <c r="F82" s="50">
        <f t="shared" si="5"/>
        <v>0</v>
      </c>
      <c r="G82" s="50">
        <f t="shared" si="6"/>
        <v>0</v>
      </c>
      <c r="H82" s="51">
        <f>L26</f>
        <v>0</v>
      </c>
      <c r="J82" s="49">
        <f t="shared" ref="J82" si="55">E82*$E$20</f>
        <v>0</v>
      </c>
      <c r="K82" s="50">
        <f t="shared" ref="K82" si="56">F82*$E$20</f>
        <v>0</v>
      </c>
      <c r="L82" s="50">
        <f t="shared" ref="L82" si="57">G82*$E$20</f>
        <v>0</v>
      </c>
      <c r="M82" s="51">
        <f t="shared" ref="M82" si="58">H82*$E$20</f>
        <v>0</v>
      </c>
      <c r="O82" s="76">
        <f>O80-O81</f>
        <v>315</v>
      </c>
      <c r="P82" s="133">
        <v>70</v>
      </c>
    </row>
    <row r="83" spans="2:16" s="42" customFormat="1" ht="12" outlineLevel="1" x14ac:dyDescent="0.2">
      <c r="B83" s="44" t="s">
        <v>38</v>
      </c>
      <c r="C83" s="45" t="s">
        <v>42</v>
      </c>
      <c r="D83" s="45"/>
      <c r="E83" s="49">
        <f t="shared" si="17"/>
        <v>0.69033530571992108</v>
      </c>
      <c r="F83" s="50">
        <f t="shared" si="5"/>
        <v>5.1316453373698456</v>
      </c>
      <c r="G83" s="50">
        <f t="shared" si="6"/>
        <v>0.8353841246881144</v>
      </c>
      <c r="H83" s="51">
        <f t="shared" ref="H83:H87" si="59">O83*P83/$E$20</f>
        <v>448.71794871794873</v>
      </c>
      <c r="J83" s="49">
        <f t="shared" si="10"/>
        <v>5.3846153846153841</v>
      </c>
      <c r="K83" s="50">
        <f t="shared" si="7"/>
        <v>40.026833631484791</v>
      </c>
      <c r="L83" s="50">
        <f t="shared" si="8"/>
        <v>6.5159961725672924</v>
      </c>
      <c r="M83" s="51">
        <f t="shared" si="9"/>
        <v>3500</v>
      </c>
      <c r="O83" s="76">
        <v>1</v>
      </c>
      <c r="P83" s="76">
        <v>3500</v>
      </c>
    </row>
    <row r="84" spans="2:16" s="42" customFormat="1" ht="12" outlineLevel="1" x14ac:dyDescent="0.2">
      <c r="B84" s="44" t="s">
        <v>38</v>
      </c>
      <c r="C84" s="45" t="s">
        <v>101</v>
      </c>
      <c r="D84" s="45"/>
      <c r="E84" s="49">
        <f t="shared" si="17"/>
        <v>2.3668639053254439</v>
      </c>
      <c r="F84" s="50">
        <f t="shared" si="5"/>
        <v>17.594212585268043</v>
      </c>
      <c r="G84" s="50">
        <f t="shared" si="6"/>
        <v>2.8641741417878208</v>
      </c>
      <c r="H84" s="51">
        <f t="shared" si="59"/>
        <v>1538.4615384615386</v>
      </c>
      <c r="J84" s="49">
        <f t="shared" si="10"/>
        <v>18.461538461538463</v>
      </c>
      <c r="K84" s="50">
        <f t="shared" si="7"/>
        <v>137.23485816509074</v>
      </c>
      <c r="L84" s="50">
        <f t="shared" si="8"/>
        <v>22.340558305945002</v>
      </c>
      <c r="M84" s="51">
        <f t="shared" si="9"/>
        <v>12000</v>
      </c>
      <c r="O84" s="76">
        <v>1</v>
      </c>
      <c r="P84" s="76">
        <v>12000</v>
      </c>
    </row>
    <row r="85" spans="2:16" outlineLevel="1" x14ac:dyDescent="0.25">
      <c r="B85" s="44" t="s">
        <v>38</v>
      </c>
      <c r="C85" s="45" t="s">
        <v>63</v>
      </c>
      <c r="D85" s="45"/>
      <c r="E85" s="49">
        <f t="shared" si="17"/>
        <v>1.972386587771203</v>
      </c>
      <c r="F85" s="50">
        <f t="shared" si="5"/>
        <v>14.661843821056699</v>
      </c>
      <c r="G85" s="50">
        <f t="shared" si="6"/>
        <v>2.386811784823184</v>
      </c>
      <c r="H85" s="51">
        <f>O85*P85/$E$20</f>
        <v>1282.051282051282</v>
      </c>
      <c r="I85" s="42"/>
      <c r="J85" s="49">
        <f t="shared" ref="J85" si="60">E85*$E$20</f>
        <v>15.384615384615383</v>
      </c>
      <c r="K85" s="50">
        <f t="shared" ref="K85" si="61">F85*$E$20</f>
        <v>114.36238180424225</v>
      </c>
      <c r="L85" s="50">
        <f t="shared" ref="L85" si="62">G85*$E$20</f>
        <v>18.617131921620835</v>
      </c>
      <c r="M85" s="51">
        <f t="shared" ref="M85" si="63">H85*$E$20</f>
        <v>10000</v>
      </c>
      <c r="N85" s="42"/>
      <c r="O85" s="76">
        <v>1</v>
      </c>
      <c r="P85" s="76">
        <v>10000</v>
      </c>
    </row>
    <row r="86" spans="2:16" outlineLevel="1" x14ac:dyDescent="0.25">
      <c r="B86" s="44" t="s">
        <v>38</v>
      </c>
      <c r="C86" s="45" t="s">
        <v>100</v>
      </c>
      <c r="D86" s="45"/>
      <c r="E86" s="49">
        <f t="shared" ref="E86" si="64">H86/$L$20</f>
        <v>2.9585798816568047</v>
      </c>
      <c r="F86" s="50">
        <f t="shared" ref="F86" si="65">H86/($L$20*(1-$E$37)*$L$10)</f>
        <v>21.992765731585052</v>
      </c>
      <c r="G86" s="50">
        <f t="shared" ref="G86" si="66">H86/($L$20*(1-$E$37)*$L$12)</f>
        <v>3.580217677234776</v>
      </c>
      <c r="H86" s="51">
        <f>O86*P86/$E$20</f>
        <v>1923.0769230769231</v>
      </c>
      <c r="I86" s="42"/>
      <c r="J86" s="49">
        <f t="shared" ref="J86" si="67">E86*$E$20</f>
        <v>23.076923076923077</v>
      </c>
      <c r="K86" s="50">
        <f t="shared" ref="K86" si="68">F86*$E$20</f>
        <v>171.54357270636339</v>
      </c>
      <c r="L86" s="50">
        <f t="shared" ref="L86" si="69">G86*$E$20</f>
        <v>27.925697882431251</v>
      </c>
      <c r="M86" s="51">
        <f t="shared" ref="M86" si="70">H86*$E$20</f>
        <v>15000</v>
      </c>
      <c r="N86" s="42"/>
      <c r="O86" s="76">
        <v>1</v>
      </c>
      <c r="P86" s="76">
        <v>15000</v>
      </c>
    </row>
    <row r="87" spans="2:16" outlineLevel="1" x14ac:dyDescent="0.25">
      <c r="B87" s="44" t="s">
        <v>38</v>
      </c>
      <c r="C87" s="45" t="s">
        <v>43</v>
      </c>
      <c r="D87" s="13"/>
      <c r="E87" s="49">
        <f t="shared" si="17"/>
        <v>0</v>
      </c>
      <c r="F87" s="50">
        <f t="shared" si="5"/>
        <v>0</v>
      </c>
      <c r="G87" s="50">
        <f t="shared" si="6"/>
        <v>0</v>
      </c>
      <c r="H87" s="51">
        <f t="shared" si="59"/>
        <v>0</v>
      </c>
      <c r="J87" s="49">
        <f t="shared" si="10"/>
        <v>0</v>
      </c>
      <c r="K87" s="50">
        <f t="shared" si="7"/>
        <v>0</v>
      </c>
      <c r="L87" s="50">
        <f t="shared" si="8"/>
        <v>0</v>
      </c>
      <c r="M87" s="51">
        <f t="shared" si="9"/>
        <v>0</v>
      </c>
      <c r="O87" s="76"/>
      <c r="P87" s="76"/>
    </row>
    <row r="88" spans="2:16" outlineLevel="1" x14ac:dyDescent="0.25">
      <c r="B88" s="44" t="s">
        <v>38</v>
      </c>
      <c r="C88" s="45" t="s">
        <v>46</v>
      </c>
      <c r="D88" s="13"/>
      <c r="E88" s="49">
        <f t="shared" si="17"/>
        <v>16.670769230769231</v>
      </c>
      <c r="F88" s="50">
        <f t="shared" si="5"/>
        <v>123.92307692307692</v>
      </c>
      <c r="G88" s="50">
        <f t="shared" si="6"/>
        <v>20.173524150268339</v>
      </c>
      <c r="H88" s="51">
        <f>O88/5/12</f>
        <v>10836</v>
      </c>
      <c r="J88" s="49">
        <f t="shared" si="10"/>
        <v>130.03200000000001</v>
      </c>
      <c r="K88" s="50">
        <f t="shared" si="7"/>
        <v>966.59999999999991</v>
      </c>
      <c r="L88" s="50">
        <f t="shared" si="8"/>
        <v>157.35348837209304</v>
      </c>
      <c r="M88" s="51">
        <f t="shared" si="9"/>
        <v>84520.8</v>
      </c>
      <c r="O88" s="76">
        <f>1.2*541800</f>
        <v>650160</v>
      </c>
      <c r="P88" s="76"/>
    </row>
    <row r="89" spans="2:16" outlineLevel="1" x14ac:dyDescent="0.25">
      <c r="B89" s="59" t="s">
        <v>47</v>
      </c>
      <c r="C89" s="60"/>
      <c r="D89" s="60"/>
      <c r="E89" s="61">
        <f>E56-E60-E76</f>
        <v>11.67674566938102</v>
      </c>
      <c r="F89" s="62">
        <f>F56-F60-F76</f>
        <v>86.799729020730922</v>
      </c>
      <c r="G89" s="62">
        <f>G56-G60-G76</f>
        <v>14.130188445235262</v>
      </c>
      <c r="H89" s="63">
        <f>H56-H60-H76</f>
        <v>7589.8846850976588</v>
      </c>
      <c r="J89" s="61">
        <f t="shared" si="10"/>
        <v>91.078616221171956</v>
      </c>
      <c r="K89" s="62">
        <f t="shared" si="7"/>
        <v>677.03788636170123</v>
      </c>
      <c r="L89" s="62">
        <f t="shared" si="8"/>
        <v>110.21546987283504</v>
      </c>
      <c r="M89" s="63">
        <f t="shared" si="9"/>
        <v>59201.100543761735</v>
      </c>
      <c r="O89" s="79"/>
      <c r="P89" s="79"/>
    </row>
    <row r="90" spans="2:16" outlineLevel="1" x14ac:dyDescent="0.25"/>
    <row r="91" spans="2:16" s="4" customFormat="1" ht="18.75" customHeight="1" x14ac:dyDescent="0.25"/>
    <row r="92" spans="2:16" hidden="1" x14ac:dyDescent="0.25">
      <c r="B92" s="42"/>
      <c r="C92" s="42"/>
    </row>
    <row r="93" spans="2:16" hidden="1" x14ac:dyDescent="0.25">
      <c r="B93" s="43"/>
      <c r="C93" s="42"/>
      <c r="D93" s="42"/>
    </row>
    <row r="94" spans="2:16" x14ac:dyDescent="0.25"/>
    <row r="95" spans="2:16" x14ac:dyDescent="0.25"/>
    <row r="96" spans="2:16" x14ac:dyDescent="0.25"/>
    <row r="97" x14ac:dyDescent="0.25"/>
    <row r="98" x14ac:dyDescent="0.25"/>
    <row r="99" x14ac:dyDescent="0.25"/>
  </sheetData>
  <protectedRanges>
    <protectedRange sqref="O56:P89" name="Rango3"/>
    <protectedRange sqref="N10:N13 N15:N18 L20 L24:L25 L28" name="Rango2"/>
    <protectedRange sqref="E10:E15 E17 G20 E49 G25 G37:G40" name="Rango1"/>
  </protectedRanges>
  <mergeCells count="86">
    <mergeCell ref="N37:O37"/>
    <mergeCell ref="N38:O38"/>
    <mergeCell ref="H37:J37"/>
    <mergeCell ref="H38:J38"/>
    <mergeCell ref="J28:K29"/>
    <mergeCell ref="L28:L29"/>
    <mergeCell ref="M28:M29"/>
    <mergeCell ref="J30:K30"/>
    <mergeCell ref="Q43:Q44"/>
    <mergeCell ref="L43:L44"/>
    <mergeCell ref="L46:L47"/>
    <mergeCell ref="P43:P44"/>
    <mergeCell ref="P46:P47"/>
    <mergeCell ref="O46:O47"/>
    <mergeCell ref="M43:N44"/>
    <mergeCell ref="M46:N47"/>
    <mergeCell ref="O43:O44"/>
    <mergeCell ref="E46:E47"/>
    <mergeCell ref="C46:D47"/>
    <mergeCell ref="M24:M25"/>
    <mergeCell ref="B41:D41"/>
    <mergeCell ref="G46:I47"/>
    <mergeCell ref="K43:K44"/>
    <mergeCell ref="K46:K47"/>
    <mergeCell ref="C43:D44"/>
    <mergeCell ref="E43:E44"/>
    <mergeCell ref="C29:D29"/>
    <mergeCell ref="C30:D30"/>
    <mergeCell ref="G43:H44"/>
    <mergeCell ref="I43:J44"/>
    <mergeCell ref="C26:D26"/>
    <mergeCell ref="C27:D27"/>
    <mergeCell ref="C49:D50"/>
    <mergeCell ref="E49:E50"/>
    <mergeCell ref="J20:K21"/>
    <mergeCell ref="L20:L21"/>
    <mergeCell ref="M20:M21"/>
    <mergeCell ref="C20:D21"/>
    <mergeCell ref="E20:E21"/>
    <mergeCell ref="F20:F21"/>
    <mergeCell ref="G20:G21"/>
    <mergeCell ref="F37:F38"/>
    <mergeCell ref="C32:D32"/>
    <mergeCell ref="C33:D33"/>
    <mergeCell ref="C34:D34"/>
    <mergeCell ref="C24:D24"/>
    <mergeCell ref="F49:F50"/>
    <mergeCell ref="J46:J47"/>
    <mergeCell ref="P3:Q4"/>
    <mergeCell ref="Q9:Q10"/>
    <mergeCell ref="E37:E38"/>
    <mergeCell ref="C37:D38"/>
    <mergeCell ref="M10:M11"/>
    <mergeCell ref="L12:L13"/>
    <mergeCell ref="M12:M13"/>
    <mergeCell ref="L15:L16"/>
    <mergeCell ref="M15:M16"/>
    <mergeCell ref="L17:L18"/>
    <mergeCell ref="M17:M18"/>
    <mergeCell ref="J10:K11"/>
    <mergeCell ref="J15:K16"/>
    <mergeCell ref="L10:L11"/>
    <mergeCell ref="E17:E18"/>
    <mergeCell ref="H17:H18"/>
    <mergeCell ref="H10:H11"/>
    <mergeCell ref="H12:H13"/>
    <mergeCell ref="H14:H15"/>
    <mergeCell ref="G10:G11"/>
    <mergeCell ref="G12:G13"/>
    <mergeCell ref="G14:G15"/>
    <mergeCell ref="J17:K18"/>
    <mergeCell ref="J12:K13"/>
    <mergeCell ref="B3:E4"/>
    <mergeCell ref="C17:D18"/>
    <mergeCell ref="C10:D11"/>
    <mergeCell ref="C12:D13"/>
    <mergeCell ref="C14:D15"/>
    <mergeCell ref="E10:E11"/>
    <mergeCell ref="E12:E13"/>
    <mergeCell ref="E14:E15"/>
    <mergeCell ref="B8:D8"/>
    <mergeCell ref="G17:G18"/>
    <mergeCell ref="F10:F11"/>
    <mergeCell ref="F12:F13"/>
    <mergeCell ref="F14:F15"/>
    <mergeCell ref="F17:F18"/>
  </mergeCells>
  <conditionalFormatting sqref="L26">
    <cfRule type="cellIs" dxfId="1" priority="1" operator="equal">
      <formula>0</formula>
    </cfRule>
    <cfRule type="cellIs" dxfId="0" priority="3" operator="greaterThan">
      <formula>0</formula>
    </cfRule>
  </conditionalFormatting>
  <pageMargins left="0.7" right="0.7" top="0.75" bottom="0.75" header="0.3" footer="0.3"/>
  <pageSetup paperSize="9" scale="43" orientation="landscape" r:id="rId1"/>
  <ignoredErrors>
    <ignoredError sqref="H76" formula="1"/>
    <ignoredError sqref="L24:L25 O70:P71 O82 O76:P76 O74 O75 O62:O63 O64 P62:P64 O65:P65 O68:P68 E24:E25 E31:E38 O78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Spinner 1">
              <controlPr defaultSize="0" autoPict="0">
                <anchor moveWithCells="1" sizeWithCells="1">
                  <from>
                    <xdr:col>7</xdr:col>
                    <xdr:colOff>390525</xdr:colOff>
                    <xdr:row>9</xdr:row>
                    <xdr:rowOff>19050</xdr:rowOff>
                  </from>
                  <to>
                    <xdr:col>7</xdr:col>
                    <xdr:colOff>752475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Spinner 2">
              <controlPr defaultSize="0" autoPict="0">
                <anchor moveWithCells="1" sizeWithCells="1">
                  <from>
                    <xdr:col>7</xdr:col>
                    <xdr:colOff>390525</xdr:colOff>
                    <xdr:row>11</xdr:row>
                    <xdr:rowOff>19050</xdr:rowOff>
                  </from>
                  <to>
                    <xdr:col>7</xdr:col>
                    <xdr:colOff>752475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Spinner 3">
              <controlPr defaultSize="0" autoPict="0">
                <anchor moveWithCells="1" sizeWithCells="1">
                  <from>
                    <xdr:col>7</xdr:col>
                    <xdr:colOff>400050</xdr:colOff>
                    <xdr:row>13</xdr:row>
                    <xdr:rowOff>19050</xdr:rowOff>
                  </from>
                  <to>
                    <xdr:col>7</xdr:col>
                    <xdr:colOff>762000</xdr:colOff>
                    <xdr:row>14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7" name="Spinner 6">
              <controlPr defaultSize="0" autoPict="0">
                <anchor moveWithCells="1" sizeWithCells="1">
                  <from>
                    <xdr:col>7</xdr:col>
                    <xdr:colOff>390525</xdr:colOff>
                    <xdr:row>16</xdr:row>
                    <xdr:rowOff>19050</xdr:rowOff>
                  </from>
                  <to>
                    <xdr:col>7</xdr:col>
                    <xdr:colOff>752475</xdr:colOff>
                    <xdr:row>17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8" name="Spinner 7">
              <controlPr defaultSize="0" autoPict="0">
                <anchor moveWithCells="1" sizeWithCells="1">
                  <from>
                    <xdr:col>5</xdr:col>
                    <xdr:colOff>390525</xdr:colOff>
                    <xdr:row>19</xdr:row>
                    <xdr:rowOff>19050</xdr:rowOff>
                  </from>
                  <to>
                    <xdr:col>5</xdr:col>
                    <xdr:colOff>752475</xdr:colOff>
                    <xdr:row>20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9" name="Spinner 8">
              <controlPr defaultSize="0" autoPict="0">
                <anchor moveWithCells="1" sizeWithCells="1">
                  <from>
                    <xdr:col>12</xdr:col>
                    <xdr:colOff>123825</xdr:colOff>
                    <xdr:row>9</xdr:row>
                    <xdr:rowOff>57150</xdr:rowOff>
                  </from>
                  <to>
                    <xdr:col>12</xdr:col>
                    <xdr:colOff>666750</xdr:colOff>
                    <xdr:row>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0" name="Spinner 12">
              <controlPr defaultSize="0" autoPict="0">
                <anchor moveWithCells="1" sizeWithCells="1">
                  <from>
                    <xdr:col>12</xdr:col>
                    <xdr:colOff>123825</xdr:colOff>
                    <xdr:row>14</xdr:row>
                    <xdr:rowOff>57150</xdr:rowOff>
                  </from>
                  <to>
                    <xdr:col>12</xdr:col>
                    <xdr:colOff>666750</xdr:colOff>
                    <xdr:row>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1" name="Scroll Bar 13">
              <controlPr defaultSize="0" autoPict="0">
                <anchor moveWithCells="1">
                  <from>
                    <xdr:col>11</xdr:col>
                    <xdr:colOff>95250</xdr:colOff>
                    <xdr:row>36</xdr:row>
                    <xdr:rowOff>28575</xdr:rowOff>
                  </from>
                  <to>
                    <xdr:col>11</xdr:col>
                    <xdr:colOff>704850</xdr:colOff>
                    <xdr:row>36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2" name="Scroll Bar 14">
              <controlPr defaultSize="0" autoPict="0">
                <anchor moveWithCells="1">
                  <from>
                    <xdr:col>11</xdr:col>
                    <xdr:colOff>95250</xdr:colOff>
                    <xdr:row>37</xdr:row>
                    <xdr:rowOff>28575</xdr:rowOff>
                  </from>
                  <to>
                    <xdr:col>11</xdr:col>
                    <xdr:colOff>704850</xdr:colOff>
                    <xdr:row>37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3" name="Scroll Bar 15">
              <controlPr defaultSize="0" autoPict="0">
                <anchor moveWithCells="1">
                  <from>
                    <xdr:col>16</xdr:col>
                    <xdr:colOff>95250</xdr:colOff>
                    <xdr:row>36</xdr:row>
                    <xdr:rowOff>28575</xdr:rowOff>
                  </from>
                  <to>
                    <xdr:col>16</xdr:col>
                    <xdr:colOff>704850</xdr:colOff>
                    <xdr:row>36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4" name="Scroll Bar 16">
              <controlPr defaultSize="0" autoPict="0">
                <anchor moveWithCells="1">
                  <from>
                    <xdr:col>16</xdr:col>
                    <xdr:colOff>95250</xdr:colOff>
                    <xdr:row>37</xdr:row>
                    <xdr:rowOff>28575</xdr:rowOff>
                  </from>
                  <to>
                    <xdr:col>16</xdr:col>
                    <xdr:colOff>704850</xdr:colOff>
                    <xdr:row>37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5" name="Spinner 17">
              <controlPr defaultSize="0" autoPict="0">
                <anchor moveWithCells="1" sizeWithCells="1">
                  <from>
                    <xdr:col>12</xdr:col>
                    <xdr:colOff>390525</xdr:colOff>
                    <xdr:row>19</xdr:row>
                    <xdr:rowOff>19050</xdr:rowOff>
                  </from>
                  <to>
                    <xdr:col>12</xdr:col>
                    <xdr:colOff>752475</xdr:colOff>
                    <xdr:row>20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6" name="Spinner 18">
              <controlPr defaultSize="0" autoPict="0">
                <anchor moveWithCells="1" sizeWithCells="1">
                  <from>
                    <xdr:col>12</xdr:col>
                    <xdr:colOff>390525</xdr:colOff>
                    <xdr:row>23</xdr:row>
                    <xdr:rowOff>19050</xdr:rowOff>
                  </from>
                  <to>
                    <xdr:col>12</xdr:col>
                    <xdr:colOff>752475</xdr:colOff>
                    <xdr:row>24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7" name="Scroll Bar 19">
              <controlPr defaultSize="0" autoPict="0">
                <anchor moveWithCells="1">
                  <from>
                    <xdr:col>5</xdr:col>
                    <xdr:colOff>95250</xdr:colOff>
                    <xdr:row>31</xdr:row>
                    <xdr:rowOff>9525</xdr:rowOff>
                  </from>
                  <to>
                    <xdr:col>5</xdr:col>
                    <xdr:colOff>704850</xdr:colOff>
                    <xdr:row>31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8" name="Scroll Bar 20">
              <controlPr defaultSize="0" autoPict="0">
                <anchor moveWithCells="1">
                  <from>
                    <xdr:col>5</xdr:col>
                    <xdr:colOff>95250</xdr:colOff>
                    <xdr:row>32</xdr:row>
                    <xdr:rowOff>9525</xdr:rowOff>
                  </from>
                  <to>
                    <xdr:col>5</xdr:col>
                    <xdr:colOff>704850</xdr:colOff>
                    <xdr:row>32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19" name="Scroll Bar 21">
              <controlPr defaultSize="0" autoPict="0">
                <anchor moveWithCells="1">
                  <from>
                    <xdr:col>5</xdr:col>
                    <xdr:colOff>95250</xdr:colOff>
                    <xdr:row>33</xdr:row>
                    <xdr:rowOff>9525</xdr:rowOff>
                  </from>
                  <to>
                    <xdr:col>5</xdr:col>
                    <xdr:colOff>704850</xdr:colOff>
                    <xdr:row>33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0" name="Spinner 23">
              <controlPr defaultSize="0" autoPict="0">
                <anchor moveWithCells="1" sizeWithCells="1">
                  <from>
                    <xdr:col>7</xdr:col>
                    <xdr:colOff>514350</xdr:colOff>
                    <xdr:row>23</xdr:row>
                    <xdr:rowOff>19050</xdr:rowOff>
                  </from>
                  <to>
                    <xdr:col>7</xdr:col>
                    <xdr:colOff>666750</xdr:colOff>
                    <xdr:row>23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1" name="Scroll Bar 24">
              <controlPr defaultSize="0" autoPict="0">
                <anchor moveWithCells="1">
                  <from>
                    <xdr:col>5</xdr:col>
                    <xdr:colOff>95250</xdr:colOff>
                    <xdr:row>28</xdr:row>
                    <xdr:rowOff>19050</xdr:rowOff>
                  </from>
                  <to>
                    <xdr:col>5</xdr:col>
                    <xdr:colOff>704850</xdr:colOff>
                    <xdr:row>28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2" name="Scroll Bar 25">
              <controlPr defaultSize="0" autoPict="0">
                <anchor moveWithCells="1">
                  <from>
                    <xdr:col>5</xdr:col>
                    <xdr:colOff>95250</xdr:colOff>
                    <xdr:row>29</xdr:row>
                    <xdr:rowOff>19050</xdr:rowOff>
                  </from>
                  <to>
                    <xdr:col>5</xdr:col>
                    <xdr:colOff>704850</xdr:colOff>
                    <xdr:row>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23" name="Spinner 27">
              <controlPr defaultSize="0" autoPict="0">
                <anchor moveWithCells="1" sizeWithCells="1">
                  <from>
                    <xdr:col>12</xdr:col>
                    <xdr:colOff>390525</xdr:colOff>
                    <xdr:row>27</xdr:row>
                    <xdr:rowOff>19050</xdr:rowOff>
                  </from>
                  <to>
                    <xdr:col>12</xdr:col>
                    <xdr:colOff>752475</xdr:colOff>
                    <xdr:row>28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24" name="Scroll Bar 28">
              <controlPr defaultSize="0" autoPict="0">
                <anchor moveWithCells="1">
                  <from>
                    <xdr:col>12</xdr:col>
                    <xdr:colOff>95250</xdr:colOff>
                    <xdr:row>29</xdr:row>
                    <xdr:rowOff>19050</xdr:rowOff>
                  </from>
                  <to>
                    <xdr:col>12</xdr:col>
                    <xdr:colOff>704850</xdr:colOff>
                    <xdr:row>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25" name="Scroll Bar 29">
              <controlPr defaultSize="0" autoPict="0">
                <anchor moveWithCells="1">
                  <from>
                    <xdr:col>5</xdr:col>
                    <xdr:colOff>95250</xdr:colOff>
                    <xdr:row>25</xdr:row>
                    <xdr:rowOff>19050</xdr:rowOff>
                  </from>
                  <to>
                    <xdr:col>5</xdr:col>
                    <xdr:colOff>704850</xdr:colOff>
                    <xdr:row>25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26" name="Scroll Bar 30">
              <controlPr defaultSize="0" autoPict="0">
                <anchor moveWithCells="1">
                  <from>
                    <xdr:col>5</xdr:col>
                    <xdr:colOff>95250</xdr:colOff>
                    <xdr:row>26</xdr:row>
                    <xdr:rowOff>19050</xdr:rowOff>
                  </from>
                  <to>
                    <xdr:col>5</xdr:col>
                    <xdr:colOff>704850</xdr:colOff>
                    <xdr:row>26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3"/>
  <sheetViews>
    <sheetView showGridLines="0" zoomScale="90" zoomScaleNormal="90" workbookViewId="0">
      <selection activeCell="E1" sqref="E1"/>
    </sheetView>
  </sheetViews>
  <sheetFormatPr baseColWidth="10" defaultColWidth="0" defaultRowHeight="15" zeroHeight="1" x14ac:dyDescent="0.25"/>
  <cols>
    <col min="1" max="1" width="1.85546875" customWidth="1"/>
    <col min="2" max="2" width="15.7109375" customWidth="1"/>
    <col min="3" max="4" width="12" customWidth="1"/>
    <col min="5" max="9" width="11.42578125" customWidth="1"/>
    <col min="10" max="37" width="0" hidden="1" customWidth="1"/>
    <col min="38" max="16384" width="11.42578125" hidden="1"/>
  </cols>
  <sheetData>
    <row r="1" spans="2:9" s="2" customFormat="1" ht="9.75" customHeight="1" x14ac:dyDescent="0.25"/>
    <row r="2" spans="2:9" s="7" customFormat="1" ht="15" customHeight="1" x14ac:dyDescent="0.25">
      <c r="B2" s="203"/>
      <c r="C2" s="203"/>
      <c r="D2" s="203"/>
      <c r="E2" s="203"/>
      <c r="F2" s="8" t="s">
        <v>0</v>
      </c>
      <c r="H2" s="209" t="s">
        <v>16</v>
      </c>
      <c r="I2" s="209"/>
    </row>
    <row r="3" spans="2:9" s="2" customFormat="1" ht="15" customHeight="1" x14ac:dyDescent="0.25">
      <c r="B3" s="203"/>
      <c r="C3" s="203"/>
      <c r="D3" s="203"/>
      <c r="E3" s="203"/>
      <c r="F3" s="3" t="s">
        <v>147</v>
      </c>
      <c r="H3" s="209"/>
      <c r="I3" s="209"/>
    </row>
    <row r="4" spans="2:9" s="5" customFormat="1" ht="9.75" customHeight="1" x14ac:dyDescent="0.25"/>
    <row r="5" spans="2:9" s="4" customFormat="1" ht="6.75" customHeight="1" x14ac:dyDescent="0.25"/>
    <row r="6" spans="2:9" x14ac:dyDescent="0.25"/>
    <row r="7" spans="2:9" x14ac:dyDescent="0.25">
      <c r="B7" s="152" t="s">
        <v>146</v>
      </c>
      <c r="C7" s="164">
        <v>1000</v>
      </c>
      <c r="D7" s="32" t="s">
        <v>135</v>
      </c>
    </row>
    <row r="8" spans="2:9" x14ac:dyDescent="0.25">
      <c r="C8" s="150"/>
    </row>
    <row r="9" spans="2:9" x14ac:dyDescent="0.25">
      <c r="C9" s="150"/>
    </row>
    <row r="10" spans="2:9" x14ac:dyDescent="0.25">
      <c r="B10" s="153" t="s">
        <v>130</v>
      </c>
      <c r="C10" s="154">
        <f>Molienda!J76+SUM(Molienda!J68:J75)</f>
        <v>334.92363897435899</v>
      </c>
      <c r="D10" s="32" t="s">
        <v>137</v>
      </c>
    </row>
    <row r="11" spans="2:9" x14ac:dyDescent="0.25">
      <c r="C11" s="150"/>
    </row>
    <row r="12" spans="2:9" x14ac:dyDescent="0.25">
      <c r="C12" s="150"/>
    </row>
    <row r="13" spans="2:9" x14ac:dyDescent="0.25">
      <c r="B13" s="153" t="s">
        <v>134</v>
      </c>
      <c r="C13" s="156">
        <f>1-Molienda!E37</f>
        <v>0.96089385474860334</v>
      </c>
      <c r="D13" s="148"/>
    </row>
    <row r="14" spans="2:9" x14ac:dyDescent="0.25">
      <c r="B14" s="144" t="s">
        <v>131</v>
      </c>
      <c r="C14" s="155">
        <f>C7*C13</f>
        <v>960.8938547486033</v>
      </c>
      <c r="D14" s="32" t="s">
        <v>135</v>
      </c>
    </row>
    <row r="15" spans="2:9" x14ac:dyDescent="0.25">
      <c r="C15" s="151"/>
    </row>
    <row r="16" spans="2:9" x14ac:dyDescent="0.25">
      <c r="C16" s="151"/>
    </row>
    <row r="17" spans="2:8" x14ac:dyDescent="0.25">
      <c r="B17" s="153" t="s">
        <v>136</v>
      </c>
      <c r="C17" s="154">
        <f>C14*Molienda!L12</f>
        <v>826.36871508379886</v>
      </c>
      <c r="D17" s="32" t="s">
        <v>135</v>
      </c>
    </row>
    <row r="18" spans="2:8" x14ac:dyDescent="0.25">
      <c r="B18" s="153" t="s">
        <v>5</v>
      </c>
      <c r="C18" s="154">
        <f>Molienda!L10*Fazon!C14</f>
        <v>134.52513966480447</v>
      </c>
      <c r="D18" s="32" t="s">
        <v>135</v>
      </c>
    </row>
    <row r="19" spans="2:8" x14ac:dyDescent="0.25"/>
    <row r="20" spans="2:8" x14ac:dyDescent="0.25"/>
    <row r="21" spans="2:8" x14ac:dyDescent="0.25">
      <c r="C21" s="252" t="s">
        <v>138</v>
      </c>
      <c r="D21" s="253"/>
      <c r="E21" s="252" t="s">
        <v>139</v>
      </c>
      <c r="F21" s="253"/>
      <c r="G21" s="252" t="s">
        <v>140</v>
      </c>
      <c r="H21" s="253"/>
    </row>
    <row r="22" spans="2:8" x14ac:dyDescent="0.25">
      <c r="B22" s="153" t="s">
        <v>136</v>
      </c>
      <c r="C22" s="165">
        <v>900</v>
      </c>
      <c r="D22" s="161" t="s">
        <v>135</v>
      </c>
      <c r="E22" s="163">
        <f>C17-C22</f>
        <v>-73.631284916201139</v>
      </c>
      <c r="F22" s="161" t="s">
        <v>135</v>
      </c>
      <c r="G22" s="163">
        <f>Molienda!G12*(1-Molienda!E34)-Molienda!G27</f>
        <v>2592.174</v>
      </c>
      <c r="H22" s="161" t="s">
        <v>141</v>
      </c>
    </row>
    <row r="23" spans="2:8" x14ac:dyDescent="0.25">
      <c r="B23" s="153" t="s">
        <v>5</v>
      </c>
      <c r="C23" s="165">
        <v>0</v>
      </c>
      <c r="D23" s="162" t="s">
        <v>135</v>
      </c>
      <c r="E23" s="163">
        <f>C18-C23</f>
        <v>134.52513966480447</v>
      </c>
      <c r="F23" s="162" t="s">
        <v>135</v>
      </c>
      <c r="G23" s="163">
        <f>Molienda!G10*(1-Molienda!E33)-Molienda!G26</f>
        <v>4811.82</v>
      </c>
      <c r="H23" s="162" t="s">
        <v>141</v>
      </c>
    </row>
    <row r="24" spans="2:8" x14ac:dyDescent="0.25"/>
    <row r="25" spans="2:8" x14ac:dyDescent="0.25">
      <c r="B25" s="152" t="s">
        <v>142</v>
      </c>
      <c r="C25" s="157">
        <f>SUMPRODUCT(E22:E23,G22:G23)/1000*C13</f>
        <v>438.59582510408535</v>
      </c>
      <c r="D25" s="32" t="s">
        <v>143</v>
      </c>
      <c r="E25" s="32"/>
    </row>
    <row r="26" spans="2:8" x14ac:dyDescent="0.25">
      <c r="B26" s="152" t="s">
        <v>144</v>
      </c>
      <c r="C26" s="158">
        <f>C10</f>
        <v>334.92363897435899</v>
      </c>
      <c r="D26" s="32" t="s">
        <v>143</v>
      </c>
      <c r="E26" s="32"/>
    </row>
    <row r="27" spans="2:8" ht="6" customHeight="1" x14ac:dyDescent="0.25"/>
    <row r="28" spans="2:8" ht="15.75" x14ac:dyDescent="0.25">
      <c r="B28" s="250" t="s">
        <v>145</v>
      </c>
      <c r="C28" s="159">
        <f>C25-C26</f>
        <v>103.67218612972636</v>
      </c>
      <c r="D28" s="135" t="s">
        <v>143</v>
      </c>
      <c r="E28" s="160"/>
    </row>
    <row r="29" spans="2:8" ht="15.75" x14ac:dyDescent="0.25">
      <c r="B29" s="251"/>
      <c r="C29" s="159">
        <f>C28/Molienda!E20</f>
        <v>13.291305914067483</v>
      </c>
      <c r="D29" s="135" t="s">
        <v>148</v>
      </c>
      <c r="E29" s="160"/>
    </row>
    <row r="30" spans="2:8" x14ac:dyDescent="0.25"/>
    <row r="31" spans="2:8" hidden="1" x14ac:dyDescent="0.25"/>
    <row r="32" spans="2:8" hidden="1" x14ac:dyDescent="0.25"/>
    <row r="33" spans="2:2" hidden="1" x14ac:dyDescent="0.25"/>
    <row r="34" spans="2:2" hidden="1" x14ac:dyDescent="0.25"/>
    <row r="35" spans="2:2" hidden="1" x14ac:dyDescent="0.25"/>
    <row r="36" spans="2:2" hidden="1" x14ac:dyDescent="0.25"/>
    <row r="37" spans="2:2" hidden="1" x14ac:dyDescent="0.25"/>
    <row r="38" spans="2:2" hidden="1" x14ac:dyDescent="0.25"/>
    <row r="39" spans="2:2" hidden="1" x14ac:dyDescent="0.25"/>
    <row r="40" spans="2:2" hidden="1" x14ac:dyDescent="0.25">
      <c r="B40" s="149">
        <v>1</v>
      </c>
    </row>
    <row r="41" spans="2:2" hidden="1" x14ac:dyDescent="0.25"/>
    <row r="42" spans="2:2" hidden="1" x14ac:dyDescent="0.25"/>
    <row r="43" spans="2:2" hidden="1" x14ac:dyDescent="0.25"/>
  </sheetData>
  <sheetProtection sheet="1" objects="1" scenarios="1"/>
  <mergeCells count="6">
    <mergeCell ref="H2:I3"/>
    <mergeCell ref="B28:B29"/>
    <mergeCell ref="C21:D21"/>
    <mergeCell ref="E21:F21"/>
    <mergeCell ref="G21:H21"/>
    <mergeCell ref="B2:E3"/>
  </mergeCells>
  <pageMargins left="0.7" right="0.7" top="0.75" bottom="0.75" header="0.3" footer="0.3"/>
  <pageSetup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showGridLines="0" tabSelected="1" topLeftCell="A3" workbookViewId="0">
      <selection activeCell="B3" sqref="B3:E4"/>
    </sheetView>
  </sheetViews>
  <sheetFormatPr baseColWidth="10" defaultColWidth="0" defaultRowHeight="15" zeroHeight="1" x14ac:dyDescent="0.25"/>
  <cols>
    <col min="1" max="1" width="3.140625" customWidth="1"/>
    <col min="2" max="2" width="12.28515625" customWidth="1"/>
    <col min="3" max="8" width="11.42578125" customWidth="1"/>
    <col min="9" max="9" width="1.7109375" customWidth="1"/>
    <col min="10" max="11" width="11.42578125" customWidth="1"/>
    <col min="12" max="17" width="0" hidden="1" customWidth="1"/>
    <col min="18" max="16384" width="11.42578125" hidden="1"/>
  </cols>
  <sheetData>
    <row r="1" spans="2:11" s="6" customFormat="1" ht="5.25" customHeight="1" x14ac:dyDescent="0.25"/>
    <row r="2" spans="2:11" s="2" customFormat="1" ht="9.75" customHeight="1" x14ac:dyDescent="0.25"/>
    <row r="3" spans="2:11" s="7" customFormat="1" ht="15" customHeight="1" x14ac:dyDescent="0.25">
      <c r="B3" s="203"/>
      <c r="C3" s="203"/>
      <c r="D3" s="203"/>
      <c r="E3" s="203"/>
      <c r="F3" s="8" t="s">
        <v>0</v>
      </c>
      <c r="I3" s="32"/>
      <c r="J3" s="209" t="s">
        <v>16</v>
      </c>
      <c r="K3" s="209"/>
    </row>
    <row r="4" spans="2:11" s="2" customFormat="1" ht="15" customHeight="1" x14ac:dyDescent="0.25">
      <c r="B4" s="203"/>
      <c r="C4" s="203"/>
      <c r="D4" s="203"/>
      <c r="E4" s="203"/>
      <c r="F4" s="3" t="s">
        <v>48</v>
      </c>
      <c r="I4" s="32"/>
      <c r="J4" s="209"/>
      <c r="K4" s="209"/>
    </row>
    <row r="5" spans="2:11" s="5" customFormat="1" ht="9.75" customHeight="1" x14ac:dyDescent="0.25"/>
    <row r="6" spans="2:11" x14ac:dyDescent="0.25"/>
    <row r="7" spans="2:11" x14ac:dyDescent="0.25">
      <c r="B7" s="124" t="s">
        <v>116</v>
      </c>
      <c r="C7" s="125"/>
      <c r="D7" s="125"/>
      <c r="E7" s="125"/>
      <c r="F7" s="125"/>
      <c r="G7" s="125"/>
      <c r="H7" s="126"/>
    </row>
    <row r="8" spans="2:11" x14ac:dyDescent="0.25">
      <c r="B8" s="130" t="s">
        <v>132</v>
      </c>
      <c r="C8" s="131"/>
      <c r="D8" s="131"/>
      <c r="E8" s="131"/>
      <c r="F8" s="131"/>
      <c r="G8" s="131"/>
      <c r="H8" s="132"/>
    </row>
    <row r="9" spans="2:11" x14ac:dyDescent="0.25">
      <c r="B9" s="127" t="s">
        <v>133</v>
      </c>
      <c r="C9" s="128"/>
      <c r="D9" s="128"/>
      <c r="E9" s="128"/>
      <c r="F9" s="128"/>
      <c r="G9" s="128"/>
      <c r="H9" s="129"/>
    </row>
    <row r="10" spans="2:11" x14ac:dyDescent="0.25"/>
    <row r="11" spans="2:11" x14ac:dyDescent="0.25">
      <c r="B11" s="123" t="s">
        <v>103</v>
      </c>
    </row>
    <row r="12" spans="2:11" x14ac:dyDescent="0.25"/>
    <row r="13" spans="2:11" x14ac:dyDescent="0.25">
      <c r="B13" t="s">
        <v>104</v>
      </c>
    </row>
    <row r="14" spans="2:11" x14ac:dyDescent="0.25"/>
    <row r="15" spans="2:11" x14ac:dyDescent="0.25">
      <c r="B15" t="s">
        <v>107</v>
      </c>
      <c r="F15" t="s">
        <v>105</v>
      </c>
    </row>
    <row r="16" spans="2:11" x14ac:dyDescent="0.25">
      <c r="B16" t="s">
        <v>108</v>
      </c>
    </row>
    <row r="17" spans="2:2" x14ac:dyDescent="0.25">
      <c r="B17" t="s">
        <v>109</v>
      </c>
    </row>
    <row r="18" spans="2:2" x14ac:dyDescent="0.25">
      <c r="B18" t="s">
        <v>111</v>
      </c>
    </row>
    <row r="19" spans="2:2" x14ac:dyDescent="0.25">
      <c r="B19" t="s">
        <v>106</v>
      </c>
    </row>
    <row r="20" spans="2:2" x14ac:dyDescent="0.25"/>
    <row r="21" spans="2:2" x14ac:dyDescent="0.25">
      <c r="B21" t="s">
        <v>110</v>
      </c>
    </row>
    <row r="22" spans="2:2" x14ac:dyDescent="0.25"/>
    <row r="23" spans="2:2" x14ac:dyDescent="0.25">
      <c r="B23" t="s">
        <v>112</v>
      </c>
    </row>
    <row r="24" spans="2:2" x14ac:dyDescent="0.25">
      <c r="B24" t="s">
        <v>113</v>
      </c>
    </row>
    <row r="25" spans="2:2" x14ac:dyDescent="0.25">
      <c r="B25" t="s">
        <v>114</v>
      </c>
    </row>
    <row r="26" spans="2:2" x14ac:dyDescent="0.25">
      <c r="B26" t="s">
        <v>115</v>
      </c>
    </row>
    <row r="27" spans="2:2" x14ac:dyDescent="0.25"/>
  </sheetData>
  <mergeCells count="2">
    <mergeCell ref="B3:E4"/>
    <mergeCell ref="J3:K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1"/>
  <sheetViews>
    <sheetView topLeftCell="A977" workbookViewId="0">
      <selection activeCell="C10" sqref="C10"/>
    </sheetView>
  </sheetViews>
  <sheetFormatPr baseColWidth="10" defaultRowHeight="15" x14ac:dyDescent="0.25"/>
  <sheetData>
    <row r="1" spans="1:2" x14ac:dyDescent="0.25">
      <c r="B1" s="93" t="s">
        <v>82</v>
      </c>
    </row>
    <row r="2" spans="1:2" x14ac:dyDescent="0.25">
      <c r="A2">
        <v>1</v>
      </c>
      <c r="B2" s="92">
        <v>25.3</v>
      </c>
    </row>
    <row r="3" spans="1:2" x14ac:dyDescent="0.25">
      <c r="A3">
        <v>2</v>
      </c>
      <c r="B3" s="92">
        <v>25.3</v>
      </c>
    </row>
    <row r="4" spans="1:2" x14ac:dyDescent="0.25">
      <c r="A4">
        <v>3</v>
      </c>
      <c r="B4" s="92">
        <v>25.3</v>
      </c>
    </row>
    <row r="5" spans="1:2" x14ac:dyDescent="0.25">
      <c r="A5">
        <v>4</v>
      </c>
      <c r="B5" s="92">
        <v>25.3</v>
      </c>
    </row>
    <row r="6" spans="1:2" x14ac:dyDescent="0.25">
      <c r="A6">
        <v>5</v>
      </c>
      <c r="B6" s="92">
        <v>25.3</v>
      </c>
    </row>
    <row r="7" spans="1:2" x14ac:dyDescent="0.25">
      <c r="A7">
        <v>6</v>
      </c>
      <c r="B7" s="92">
        <v>25.3</v>
      </c>
    </row>
    <row r="8" spans="1:2" x14ac:dyDescent="0.25">
      <c r="A8">
        <v>7</v>
      </c>
      <c r="B8" s="92">
        <v>25.3</v>
      </c>
    </row>
    <row r="9" spans="1:2" x14ac:dyDescent="0.25">
      <c r="A9">
        <v>8</v>
      </c>
      <c r="B9" s="92">
        <v>25.3</v>
      </c>
    </row>
    <row r="10" spans="1:2" x14ac:dyDescent="0.25">
      <c r="A10">
        <v>9</v>
      </c>
      <c r="B10" s="92">
        <v>25.3</v>
      </c>
    </row>
    <row r="11" spans="1:2" x14ac:dyDescent="0.25">
      <c r="A11">
        <v>10</v>
      </c>
      <c r="B11" s="92">
        <v>25.3</v>
      </c>
    </row>
    <row r="12" spans="1:2" x14ac:dyDescent="0.25">
      <c r="A12">
        <v>11</v>
      </c>
      <c r="B12" s="92">
        <v>25.83</v>
      </c>
    </row>
    <row r="13" spans="1:2" x14ac:dyDescent="0.25">
      <c r="A13">
        <v>12</v>
      </c>
      <c r="B13" s="92">
        <v>26.35</v>
      </c>
    </row>
    <row r="14" spans="1:2" x14ac:dyDescent="0.25">
      <c r="A14">
        <v>13</v>
      </c>
      <c r="B14" s="92">
        <v>26.88</v>
      </c>
    </row>
    <row r="15" spans="1:2" x14ac:dyDescent="0.25">
      <c r="A15">
        <v>14</v>
      </c>
      <c r="B15" s="92">
        <v>27.41</v>
      </c>
    </row>
    <row r="16" spans="1:2" x14ac:dyDescent="0.25">
      <c r="A16">
        <v>15</v>
      </c>
      <c r="B16" s="92">
        <v>27.94</v>
      </c>
    </row>
    <row r="17" spans="1:2" x14ac:dyDescent="0.25">
      <c r="A17">
        <v>16</v>
      </c>
      <c r="B17" s="92">
        <v>28.51</v>
      </c>
    </row>
    <row r="18" spans="1:2" x14ac:dyDescent="0.25">
      <c r="A18">
        <v>17</v>
      </c>
      <c r="B18" s="92">
        <v>29.08</v>
      </c>
    </row>
    <row r="19" spans="1:2" x14ac:dyDescent="0.25">
      <c r="A19">
        <v>18</v>
      </c>
      <c r="B19" s="92">
        <v>29.66</v>
      </c>
    </row>
    <row r="20" spans="1:2" x14ac:dyDescent="0.25">
      <c r="A20">
        <v>19</v>
      </c>
      <c r="B20" s="92">
        <v>30.23</v>
      </c>
    </row>
    <row r="21" spans="1:2" x14ac:dyDescent="0.25">
      <c r="A21">
        <v>20</v>
      </c>
      <c r="B21" s="92">
        <v>30.8</v>
      </c>
    </row>
    <row r="22" spans="1:2" x14ac:dyDescent="0.25">
      <c r="A22">
        <v>21</v>
      </c>
      <c r="B22" s="92">
        <v>31.37</v>
      </c>
    </row>
    <row r="23" spans="1:2" x14ac:dyDescent="0.25">
      <c r="A23">
        <v>22</v>
      </c>
      <c r="B23" s="92">
        <v>31.93</v>
      </c>
    </row>
    <row r="24" spans="1:2" x14ac:dyDescent="0.25">
      <c r="A24">
        <v>23</v>
      </c>
      <c r="B24" s="92">
        <v>32.49</v>
      </c>
    </row>
    <row r="25" spans="1:2" x14ac:dyDescent="0.25">
      <c r="A25">
        <v>24</v>
      </c>
      <c r="B25" s="92">
        <v>33.06</v>
      </c>
    </row>
    <row r="26" spans="1:2" x14ac:dyDescent="0.25">
      <c r="A26">
        <v>25</v>
      </c>
      <c r="B26" s="92">
        <v>33.619999999999997</v>
      </c>
    </row>
    <row r="27" spans="1:2" x14ac:dyDescent="0.25">
      <c r="A27">
        <v>26</v>
      </c>
      <c r="B27" s="92">
        <v>34.21</v>
      </c>
    </row>
    <row r="28" spans="1:2" x14ac:dyDescent="0.25">
      <c r="A28">
        <v>27</v>
      </c>
      <c r="B28" s="92">
        <v>34.799999999999997</v>
      </c>
    </row>
    <row r="29" spans="1:2" x14ac:dyDescent="0.25">
      <c r="A29">
        <v>28</v>
      </c>
      <c r="B29" s="92">
        <v>35.4</v>
      </c>
    </row>
    <row r="30" spans="1:2" x14ac:dyDescent="0.25">
      <c r="A30">
        <v>29</v>
      </c>
      <c r="B30" s="92">
        <v>35.99</v>
      </c>
    </row>
    <row r="31" spans="1:2" x14ac:dyDescent="0.25">
      <c r="A31">
        <v>30</v>
      </c>
      <c r="B31" s="92">
        <v>36.58</v>
      </c>
    </row>
    <row r="32" spans="1:2" x14ac:dyDescent="0.25">
      <c r="A32">
        <v>31</v>
      </c>
      <c r="B32" s="92">
        <v>37.130000000000003</v>
      </c>
    </row>
    <row r="33" spans="1:2" x14ac:dyDescent="0.25">
      <c r="A33">
        <v>32</v>
      </c>
      <c r="B33" s="92">
        <v>37.67</v>
      </c>
    </row>
    <row r="34" spans="1:2" x14ac:dyDescent="0.25">
      <c r="A34">
        <v>33</v>
      </c>
      <c r="B34" s="92">
        <v>38.22</v>
      </c>
    </row>
    <row r="35" spans="1:2" x14ac:dyDescent="0.25">
      <c r="A35">
        <v>34</v>
      </c>
      <c r="B35" s="92">
        <v>38.76</v>
      </c>
    </row>
    <row r="36" spans="1:2" x14ac:dyDescent="0.25">
      <c r="A36">
        <v>35</v>
      </c>
      <c r="B36" s="92">
        <v>39.31</v>
      </c>
    </row>
    <row r="37" spans="1:2" x14ac:dyDescent="0.25">
      <c r="A37">
        <v>36</v>
      </c>
      <c r="B37" s="92">
        <v>39.880000000000003</v>
      </c>
    </row>
    <row r="38" spans="1:2" x14ac:dyDescent="0.25">
      <c r="A38">
        <v>37</v>
      </c>
      <c r="B38" s="92">
        <v>40.44</v>
      </c>
    </row>
    <row r="39" spans="1:2" x14ac:dyDescent="0.25">
      <c r="A39">
        <v>38</v>
      </c>
      <c r="B39" s="92">
        <v>41.01</v>
      </c>
    </row>
    <row r="40" spans="1:2" x14ac:dyDescent="0.25">
      <c r="A40">
        <v>39</v>
      </c>
      <c r="B40" s="92">
        <v>41.58</v>
      </c>
    </row>
    <row r="41" spans="1:2" x14ac:dyDescent="0.25">
      <c r="A41">
        <v>40</v>
      </c>
      <c r="B41" s="92">
        <v>42.15</v>
      </c>
    </row>
    <row r="42" spans="1:2" x14ac:dyDescent="0.25">
      <c r="A42">
        <v>41</v>
      </c>
      <c r="B42" s="92">
        <v>42.74</v>
      </c>
    </row>
    <row r="43" spans="1:2" x14ac:dyDescent="0.25">
      <c r="A43">
        <v>42</v>
      </c>
      <c r="B43" s="92">
        <v>43.34</v>
      </c>
    </row>
    <row r="44" spans="1:2" x14ac:dyDescent="0.25">
      <c r="A44">
        <v>43</v>
      </c>
      <c r="B44" s="92">
        <v>43.94</v>
      </c>
    </row>
    <row r="45" spans="1:2" x14ac:dyDescent="0.25">
      <c r="A45">
        <v>44</v>
      </c>
      <c r="B45" s="92">
        <v>44.54</v>
      </c>
    </row>
    <row r="46" spans="1:2" x14ac:dyDescent="0.25">
      <c r="A46">
        <v>45</v>
      </c>
      <c r="B46" s="92">
        <v>45.14</v>
      </c>
    </row>
    <row r="47" spans="1:2" x14ac:dyDescent="0.25">
      <c r="A47">
        <v>46</v>
      </c>
      <c r="B47" s="92">
        <v>45.7</v>
      </c>
    </row>
    <row r="48" spans="1:2" x14ac:dyDescent="0.25">
      <c r="A48">
        <v>47</v>
      </c>
      <c r="B48" s="92">
        <v>46.26</v>
      </c>
    </row>
    <row r="49" spans="1:2" x14ac:dyDescent="0.25">
      <c r="A49">
        <v>48</v>
      </c>
      <c r="B49" s="92">
        <v>46.82</v>
      </c>
    </row>
    <row r="50" spans="1:2" x14ac:dyDescent="0.25">
      <c r="A50">
        <v>49</v>
      </c>
      <c r="B50" s="92">
        <v>47.39</v>
      </c>
    </row>
    <row r="51" spans="1:2" x14ac:dyDescent="0.25">
      <c r="A51">
        <v>50</v>
      </c>
      <c r="B51" s="92">
        <v>47.95</v>
      </c>
    </row>
    <row r="52" spans="1:2" x14ac:dyDescent="0.25">
      <c r="A52">
        <v>51</v>
      </c>
      <c r="B52" s="92">
        <v>48.37</v>
      </c>
    </row>
    <row r="53" spans="1:2" x14ac:dyDescent="0.25">
      <c r="A53">
        <v>52</v>
      </c>
      <c r="B53" s="92">
        <v>48.79</v>
      </c>
    </row>
    <row r="54" spans="1:2" x14ac:dyDescent="0.25">
      <c r="A54">
        <v>53</v>
      </c>
      <c r="B54" s="92">
        <v>49.21</v>
      </c>
    </row>
    <row r="55" spans="1:2" x14ac:dyDescent="0.25">
      <c r="A55">
        <v>54</v>
      </c>
      <c r="B55" s="92">
        <v>49.63</v>
      </c>
    </row>
    <row r="56" spans="1:2" x14ac:dyDescent="0.25">
      <c r="A56">
        <v>55</v>
      </c>
      <c r="B56" s="92">
        <v>50.05</v>
      </c>
    </row>
    <row r="57" spans="1:2" x14ac:dyDescent="0.25">
      <c r="A57">
        <v>56</v>
      </c>
      <c r="B57" s="92">
        <v>50.49</v>
      </c>
    </row>
    <row r="58" spans="1:2" x14ac:dyDescent="0.25">
      <c r="A58">
        <v>57</v>
      </c>
      <c r="B58" s="92">
        <v>50.92</v>
      </c>
    </row>
    <row r="59" spans="1:2" x14ac:dyDescent="0.25">
      <c r="A59">
        <v>58</v>
      </c>
      <c r="B59" s="92">
        <v>51.36</v>
      </c>
    </row>
    <row r="60" spans="1:2" x14ac:dyDescent="0.25">
      <c r="A60">
        <v>59</v>
      </c>
      <c r="B60" s="92">
        <v>51.8</v>
      </c>
    </row>
    <row r="61" spans="1:2" x14ac:dyDescent="0.25">
      <c r="A61">
        <v>60</v>
      </c>
      <c r="B61" s="92">
        <v>52.24</v>
      </c>
    </row>
    <row r="62" spans="1:2" x14ac:dyDescent="0.25">
      <c r="A62">
        <v>61</v>
      </c>
      <c r="B62" s="92">
        <v>52.71</v>
      </c>
    </row>
    <row r="63" spans="1:2" x14ac:dyDescent="0.25">
      <c r="A63">
        <v>62</v>
      </c>
      <c r="B63" s="92">
        <v>53.18</v>
      </c>
    </row>
    <row r="64" spans="1:2" x14ac:dyDescent="0.25">
      <c r="A64">
        <v>63</v>
      </c>
      <c r="B64" s="92">
        <v>53.64</v>
      </c>
    </row>
    <row r="65" spans="1:2" x14ac:dyDescent="0.25">
      <c r="A65">
        <v>64</v>
      </c>
      <c r="B65" s="92">
        <v>54.11</v>
      </c>
    </row>
    <row r="66" spans="1:2" x14ac:dyDescent="0.25">
      <c r="A66">
        <v>65</v>
      </c>
      <c r="B66" s="92">
        <v>54.58</v>
      </c>
    </row>
    <row r="67" spans="1:2" x14ac:dyDescent="0.25">
      <c r="A67">
        <v>66</v>
      </c>
      <c r="B67" s="92">
        <v>55.04</v>
      </c>
    </row>
    <row r="68" spans="1:2" x14ac:dyDescent="0.25">
      <c r="A68">
        <v>67</v>
      </c>
      <c r="B68" s="92">
        <v>55.5</v>
      </c>
    </row>
    <row r="69" spans="1:2" x14ac:dyDescent="0.25">
      <c r="A69">
        <v>68</v>
      </c>
      <c r="B69" s="92">
        <v>55.95</v>
      </c>
    </row>
    <row r="70" spans="1:2" x14ac:dyDescent="0.25">
      <c r="A70">
        <v>69</v>
      </c>
      <c r="B70" s="92">
        <v>56.41</v>
      </c>
    </row>
    <row r="71" spans="1:2" x14ac:dyDescent="0.25">
      <c r="A71">
        <v>70</v>
      </c>
      <c r="B71" s="92">
        <v>56.87</v>
      </c>
    </row>
    <row r="72" spans="1:2" x14ac:dyDescent="0.25">
      <c r="A72">
        <v>71</v>
      </c>
      <c r="B72" s="92">
        <v>57.29</v>
      </c>
    </row>
    <row r="73" spans="1:2" x14ac:dyDescent="0.25">
      <c r="A73">
        <v>72</v>
      </c>
      <c r="B73" s="92">
        <v>57.71</v>
      </c>
    </row>
    <row r="74" spans="1:2" x14ac:dyDescent="0.25">
      <c r="A74">
        <v>73</v>
      </c>
      <c r="B74" s="92">
        <v>58.12</v>
      </c>
    </row>
    <row r="75" spans="1:2" x14ac:dyDescent="0.25">
      <c r="A75">
        <v>74</v>
      </c>
      <c r="B75" s="92">
        <v>58.54</v>
      </c>
    </row>
    <row r="76" spans="1:2" x14ac:dyDescent="0.25">
      <c r="A76">
        <v>75</v>
      </c>
      <c r="B76" s="92">
        <v>58.96</v>
      </c>
    </row>
    <row r="77" spans="1:2" x14ac:dyDescent="0.25">
      <c r="A77">
        <v>76</v>
      </c>
      <c r="B77" s="92">
        <v>59.39</v>
      </c>
    </row>
    <row r="78" spans="1:2" x14ac:dyDescent="0.25">
      <c r="A78">
        <v>77</v>
      </c>
      <c r="B78" s="92">
        <v>59.82</v>
      </c>
    </row>
    <row r="79" spans="1:2" x14ac:dyDescent="0.25">
      <c r="A79">
        <v>78</v>
      </c>
      <c r="B79" s="92">
        <v>60.25</v>
      </c>
    </row>
    <row r="80" spans="1:2" x14ac:dyDescent="0.25">
      <c r="A80">
        <v>79</v>
      </c>
      <c r="B80" s="92">
        <v>60.68</v>
      </c>
    </row>
    <row r="81" spans="1:2" x14ac:dyDescent="0.25">
      <c r="A81">
        <v>80</v>
      </c>
      <c r="B81" s="92">
        <v>61.11</v>
      </c>
    </row>
    <row r="82" spans="1:2" x14ac:dyDescent="0.25">
      <c r="A82">
        <v>81</v>
      </c>
      <c r="B82" s="92">
        <v>61.55</v>
      </c>
    </row>
    <row r="83" spans="1:2" x14ac:dyDescent="0.25">
      <c r="A83">
        <v>82</v>
      </c>
      <c r="B83" s="92">
        <v>61.98</v>
      </c>
    </row>
    <row r="84" spans="1:2" x14ac:dyDescent="0.25">
      <c r="A84">
        <v>83</v>
      </c>
      <c r="B84" s="92">
        <v>62.42</v>
      </c>
    </row>
    <row r="85" spans="1:2" x14ac:dyDescent="0.25">
      <c r="A85">
        <v>84</v>
      </c>
      <c r="B85" s="92">
        <v>62.86</v>
      </c>
    </row>
    <row r="86" spans="1:2" x14ac:dyDescent="0.25">
      <c r="A86">
        <v>85</v>
      </c>
      <c r="B86" s="92">
        <v>63.29</v>
      </c>
    </row>
    <row r="87" spans="1:2" x14ac:dyDescent="0.25">
      <c r="A87">
        <v>86</v>
      </c>
      <c r="B87" s="92">
        <v>63.73</v>
      </c>
    </row>
    <row r="88" spans="1:2" x14ac:dyDescent="0.25">
      <c r="A88">
        <v>87</v>
      </c>
      <c r="B88" s="92">
        <v>64.17</v>
      </c>
    </row>
    <row r="89" spans="1:2" x14ac:dyDescent="0.25">
      <c r="A89">
        <v>88</v>
      </c>
      <c r="B89" s="92">
        <v>64.61</v>
      </c>
    </row>
    <row r="90" spans="1:2" x14ac:dyDescent="0.25">
      <c r="A90">
        <v>89</v>
      </c>
      <c r="B90" s="92">
        <v>65.05</v>
      </c>
    </row>
    <row r="91" spans="1:2" x14ac:dyDescent="0.25">
      <c r="A91">
        <v>90</v>
      </c>
      <c r="B91" s="92">
        <v>65.489999999999995</v>
      </c>
    </row>
    <row r="92" spans="1:2" x14ac:dyDescent="0.25">
      <c r="A92">
        <v>91</v>
      </c>
      <c r="B92" s="92">
        <v>65.91</v>
      </c>
    </row>
    <row r="93" spans="1:2" x14ac:dyDescent="0.25">
      <c r="A93">
        <v>92</v>
      </c>
      <c r="B93" s="92">
        <v>66.33</v>
      </c>
    </row>
    <row r="94" spans="1:2" x14ac:dyDescent="0.25">
      <c r="A94">
        <v>93</v>
      </c>
      <c r="B94" s="92">
        <v>66.75</v>
      </c>
    </row>
    <row r="95" spans="1:2" x14ac:dyDescent="0.25">
      <c r="A95">
        <v>94</v>
      </c>
      <c r="B95" s="92">
        <v>67.17</v>
      </c>
    </row>
    <row r="96" spans="1:2" x14ac:dyDescent="0.25">
      <c r="A96">
        <v>95</v>
      </c>
      <c r="B96" s="92">
        <v>67.59</v>
      </c>
    </row>
    <row r="97" spans="1:2" x14ac:dyDescent="0.25">
      <c r="A97">
        <v>96</v>
      </c>
      <c r="B97" s="92">
        <v>68</v>
      </c>
    </row>
    <row r="98" spans="1:2" x14ac:dyDescent="0.25">
      <c r="A98">
        <v>97</v>
      </c>
      <c r="B98" s="92">
        <v>68.42</v>
      </c>
    </row>
    <row r="99" spans="1:2" x14ac:dyDescent="0.25">
      <c r="A99">
        <v>98</v>
      </c>
      <c r="B99" s="92">
        <v>68.84</v>
      </c>
    </row>
    <row r="100" spans="1:2" x14ac:dyDescent="0.25">
      <c r="A100">
        <v>99</v>
      </c>
      <c r="B100" s="92">
        <v>69.260000000000005</v>
      </c>
    </row>
    <row r="101" spans="1:2" x14ac:dyDescent="0.25">
      <c r="A101">
        <v>100</v>
      </c>
      <c r="B101" s="92">
        <v>69.680000000000007</v>
      </c>
    </row>
    <row r="102" spans="1:2" x14ac:dyDescent="0.25">
      <c r="A102">
        <v>101</v>
      </c>
      <c r="B102" s="92">
        <v>70.099999999999994</v>
      </c>
    </row>
    <row r="103" spans="1:2" x14ac:dyDescent="0.25">
      <c r="A103">
        <v>102</v>
      </c>
      <c r="B103" s="92">
        <v>70.53</v>
      </c>
    </row>
    <row r="104" spans="1:2" x14ac:dyDescent="0.25">
      <c r="A104">
        <v>103</v>
      </c>
      <c r="B104" s="92">
        <v>70.959999999999994</v>
      </c>
    </row>
    <row r="105" spans="1:2" x14ac:dyDescent="0.25">
      <c r="A105">
        <v>104</v>
      </c>
      <c r="B105" s="92">
        <v>71.39</v>
      </c>
    </row>
    <row r="106" spans="1:2" x14ac:dyDescent="0.25">
      <c r="A106">
        <v>105</v>
      </c>
      <c r="B106" s="92">
        <v>71.819999999999993</v>
      </c>
    </row>
    <row r="107" spans="1:2" x14ac:dyDescent="0.25">
      <c r="A107">
        <v>106</v>
      </c>
      <c r="B107" s="92">
        <v>72.239999999999995</v>
      </c>
    </row>
    <row r="108" spans="1:2" x14ac:dyDescent="0.25">
      <c r="A108">
        <v>107</v>
      </c>
      <c r="B108" s="92">
        <v>72.67</v>
      </c>
    </row>
    <row r="109" spans="1:2" x14ac:dyDescent="0.25">
      <c r="A109">
        <v>108</v>
      </c>
      <c r="B109" s="92">
        <v>73.099999999999994</v>
      </c>
    </row>
    <row r="110" spans="1:2" x14ac:dyDescent="0.25">
      <c r="A110">
        <v>109</v>
      </c>
      <c r="B110" s="92">
        <v>73.53</v>
      </c>
    </row>
    <row r="111" spans="1:2" x14ac:dyDescent="0.25">
      <c r="A111">
        <v>110</v>
      </c>
      <c r="B111" s="92">
        <v>73.95</v>
      </c>
    </row>
    <row r="112" spans="1:2" x14ac:dyDescent="0.25">
      <c r="A112">
        <v>111</v>
      </c>
      <c r="B112" s="92">
        <v>74.36</v>
      </c>
    </row>
    <row r="113" spans="1:2" x14ac:dyDescent="0.25">
      <c r="A113">
        <v>112</v>
      </c>
      <c r="B113" s="92">
        <v>74.77</v>
      </c>
    </row>
    <row r="114" spans="1:2" x14ac:dyDescent="0.25">
      <c r="A114">
        <v>113</v>
      </c>
      <c r="B114" s="92">
        <v>75.180000000000007</v>
      </c>
    </row>
    <row r="115" spans="1:2" x14ac:dyDescent="0.25">
      <c r="A115">
        <v>114</v>
      </c>
      <c r="B115" s="92">
        <v>75.59</v>
      </c>
    </row>
    <row r="116" spans="1:2" x14ac:dyDescent="0.25">
      <c r="A116">
        <v>115</v>
      </c>
      <c r="B116" s="92">
        <v>76</v>
      </c>
    </row>
    <row r="117" spans="1:2" x14ac:dyDescent="0.25">
      <c r="A117">
        <v>116</v>
      </c>
      <c r="B117" s="92">
        <v>76.41</v>
      </c>
    </row>
    <row r="118" spans="1:2" x14ac:dyDescent="0.25">
      <c r="A118">
        <v>117</v>
      </c>
      <c r="B118" s="92">
        <v>76.819999999999993</v>
      </c>
    </row>
    <row r="119" spans="1:2" x14ac:dyDescent="0.25">
      <c r="A119">
        <v>118</v>
      </c>
      <c r="B119" s="92">
        <v>77.23</v>
      </c>
    </row>
    <row r="120" spans="1:2" x14ac:dyDescent="0.25">
      <c r="A120">
        <v>119</v>
      </c>
      <c r="B120" s="92">
        <v>77.64</v>
      </c>
    </row>
    <row r="121" spans="1:2" x14ac:dyDescent="0.25">
      <c r="A121">
        <v>120</v>
      </c>
      <c r="B121" s="92">
        <v>78.05</v>
      </c>
    </row>
    <row r="122" spans="1:2" x14ac:dyDescent="0.25">
      <c r="A122">
        <v>121</v>
      </c>
      <c r="B122" s="92">
        <v>78.7</v>
      </c>
    </row>
    <row r="123" spans="1:2" x14ac:dyDescent="0.25">
      <c r="A123">
        <v>122</v>
      </c>
      <c r="B123" s="92">
        <v>79.349999999999994</v>
      </c>
    </row>
    <row r="124" spans="1:2" x14ac:dyDescent="0.25">
      <c r="A124">
        <v>123</v>
      </c>
      <c r="B124" s="92">
        <v>80</v>
      </c>
    </row>
    <row r="125" spans="1:2" x14ac:dyDescent="0.25">
      <c r="A125">
        <v>124</v>
      </c>
      <c r="B125" s="92">
        <v>80.66</v>
      </c>
    </row>
    <row r="126" spans="1:2" x14ac:dyDescent="0.25">
      <c r="A126">
        <v>125</v>
      </c>
      <c r="B126" s="92">
        <v>81.31</v>
      </c>
    </row>
    <row r="127" spans="1:2" x14ac:dyDescent="0.25">
      <c r="A127">
        <v>126</v>
      </c>
      <c r="B127" s="92">
        <v>81.64</v>
      </c>
    </row>
    <row r="128" spans="1:2" x14ac:dyDescent="0.25">
      <c r="A128">
        <v>127</v>
      </c>
      <c r="B128" s="92">
        <v>81.97</v>
      </c>
    </row>
    <row r="129" spans="1:2" x14ac:dyDescent="0.25">
      <c r="A129">
        <v>128</v>
      </c>
      <c r="B129" s="92">
        <v>82.3</v>
      </c>
    </row>
    <row r="130" spans="1:2" x14ac:dyDescent="0.25">
      <c r="A130">
        <v>129</v>
      </c>
      <c r="B130" s="92">
        <v>82.64</v>
      </c>
    </row>
    <row r="131" spans="1:2" x14ac:dyDescent="0.25">
      <c r="A131">
        <v>130</v>
      </c>
      <c r="B131" s="92">
        <v>82.97</v>
      </c>
    </row>
    <row r="132" spans="1:2" x14ac:dyDescent="0.25">
      <c r="A132">
        <v>131</v>
      </c>
      <c r="B132" s="92">
        <v>83.3</v>
      </c>
    </row>
    <row r="133" spans="1:2" x14ac:dyDescent="0.25">
      <c r="A133">
        <v>132</v>
      </c>
      <c r="B133" s="92">
        <v>83.64</v>
      </c>
    </row>
    <row r="134" spans="1:2" x14ac:dyDescent="0.25">
      <c r="A134">
        <v>133</v>
      </c>
      <c r="B134" s="92">
        <v>83.97</v>
      </c>
    </row>
    <row r="135" spans="1:2" x14ac:dyDescent="0.25">
      <c r="A135">
        <v>134</v>
      </c>
      <c r="B135" s="92">
        <v>84.3</v>
      </c>
    </row>
    <row r="136" spans="1:2" x14ac:dyDescent="0.25">
      <c r="A136">
        <v>135</v>
      </c>
      <c r="B136" s="92">
        <v>84.64</v>
      </c>
    </row>
    <row r="137" spans="1:2" x14ac:dyDescent="0.25">
      <c r="A137">
        <v>136</v>
      </c>
      <c r="B137" s="92">
        <v>84.97</v>
      </c>
    </row>
    <row r="138" spans="1:2" x14ac:dyDescent="0.25">
      <c r="A138">
        <v>137</v>
      </c>
      <c r="B138" s="92">
        <v>85.3</v>
      </c>
    </row>
    <row r="139" spans="1:2" x14ac:dyDescent="0.25">
      <c r="A139">
        <v>138</v>
      </c>
      <c r="B139" s="92">
        <v>85.63</v>
      </c>
    </row>
    <row r="140" spans="1:2" x14ac:dyDescent="0.25">
      <c r="A140">
        <v>139</v>
      </c>
      <c r="B140" s="92">
        <v>85.97</v>
      </c>
    </row>
    <row r="141" spans="1:2" x14ac:dyDescent="0.25">
      <c r="A141">
        <v>140</v>
      </c>
      <c r="B141" s="92">
        <v>86.3</v>
      </c>
    </row>
    <row r="142" spans="1:2" x14ac:dyDescent="0.25">
      <c r="A142">
        <v>141</v>
      </c>
      <c r="B142" s="92">
        <v>86.63</v>
      </c>
    </row>
    <row r="143" spans="1:2" x14ac:dyDescent="0.25">
      <c r="A143">
        <v>142</v>
      </c>
      <c r="B143" s="92">
        <v>86.97</v>
      </c>
    </row>
    <row r="144" spans="1:2" x14ac:dyDescent="0.25">
      <c r="A144">
        <v>143</v>
      </c>
      <c r="B144" s="92">
        <v>87.3</v>
      </c>
    </row>
    <row r="145" spans="1:2" x14ac:dyDescent="0.25">
      <c r="A145">
        <v>144</v>
      </c>
      <c r="B145" s="92">
        <v>87.63</v>
      </c>
    </row>
    <row r="146" spans="1:2" x14ac:dyDescent="0.25">
      <c r="A146">
        <v>145</v>
      </c>
      <c r="B146" s="92">
        <v>87.97</v>
      </c>
    </row>
    <row r="147" spans="1:2" x14ac:dyDescent="0.25">
      <c r="A147">
        <v>146</v>
      </c>
      <c r="B147" s="92">
        <v>88.3</v>
      </c>
    </row>
    <row r="148" spans="1:2" x14ac:dyDescent="0.25">
      <c r="A148">
        <v>147</v>
      </c>
      <c r="B148" s="92">
        <v>88.63</v>
      </c>
    </row>
    <row r="149" spans="1:2" x14ac:dyDescent="0.25">
      <c r="A149">
        <v>148</v>
      </c>
      <c r="B149" s="92">
        <v>88.96</v>
      </c>
    </row>
    <row r="150" spans="1:2" x14ac:dyDescent="0.25">
      <c r="A150">
        <v>149</v>
      </c>
      <c r="B150" s="92">
        <v>89.3</v>
      </c>
    </row>
    <row r="151" spans="1:2" x14ac:dyDescent="0.25">
      <c r="A151">
        <v>150</v>
      </c>
      <c r="B151" s="92">
        <v>89.63</v>
      </c>
    </row>
    <row r="152" spans="1:2" x14ac:dyDescent="0.25">
      <c r="A152">
        <v>151</v>
      </c>
      <c r="B152" s="92">
        <v>90.23</v>
      </c>
    </row>
    <row r="153" spans="1:2" x14ac:dyDescent="0.25">
      <c r="A153">
        <v>152</v>
      </c>
      <c r="B153" s="92">
        <v>90.83</v>
      </c>
    </row>
    <row r="154" spans="1:2" x14ac:dyDescent="0.25">
      <c r="A154">
        <v>153</v>
      </c>
      <c r="B154" s="92">
        <v>91.42</v>
      </c>
    </row>
    <row r="155" spans="1:2" x14ac:dyDescent="0.25">
      <c r="A155">
        <v>154</v>
      </c>
      <c r="B155" s="92">
        <v>92.02</v>
      </c>
    </row>
    <row r="156" spans="1:2" x14ac:dyDescent="0.25">
      <c r="A156">
        <v>155</v>
      </c>
      <c r="B156" s="92">
        <v>92.62</v>
      </c>
    </row>
    <row r="157" spans="1:2" x14ac:dyDescent="0.25">
      <c r="A157">
        <v>156</v>
      </c>
      <c r="B157" s="92">
        <v>93.22</v>
      </c>
    </row>
    <row r="158" spans="1:2" x14ac:dyDescent="0.25">
      <c r="A158">
        <v>157</v>
      </c>
      <c r="B158" s="92">
        <v>93.81</v>
      </c>
    </row>
    <row r="159" spans="1:2" x14ac:dyDescent="0.25">
      <c r="A159">
        <v>158</v>
      </c>
      <c r="B159" s="92">
        <v>94.41</v>
      </c>
    </row>
    <row r="160" spans="1:2" x14ac:dyDescent="0.25">
      <c r="A160">
        <v>159</v>
      </c>
      <c r="B160" s="92">
        <v>95.01</v>
      </c>
    </row>
    <row r="161" spans="1:2" x14ac:dyDescent="0.25">
      <c r="A161">
        <v>160</v>
      </c>
      <c r="B161" s="92">
        <v>95.61</v>
      </c>
    </row>
    <row r="162" spans="1:2" x14ac:dyDescent="0.25">
      <c r="A162">
        <v>161</v>
      </c>
      <c r="B162" s="92">
        <v>96.2</v>
      </c>
    </row>
    <row r="163" spans="1:2" x14ac:dyDescent="0.25">
      <c r="A163">
        <v>162</v>
      </c>
      <c r="B163" s="92">
        <v>96.8</v>
      </c>
    </row>
    <row r="164" spans="1:2" x14ac:dyDescent="0.25">
      <c r="A164">
        <v>163</v>
      </c>
      <c r="B164" s="92">
        <v>97.4</v>
      </c>
    </row>
    <row r="165" spans="1:2" x14ac:dyDescent="0.25">
      <c r="A165">
        <v>164</v>
      </c>
      <c r="B165" s="92">
        <v>98</v>
      </c>
    </row>
    <row r="166" spans="1:2" x14ac:dyDescent="0.25">
      <c r="A166">
        <v>165</v>
      </c>
      <c r="B166" s="92">
        <v>98.59</v>
      </c>
    </row>
    <row r="167" spans="1:2" x14ac:dyDescent="0.25">
      <c r="A167">
        <v>166</v>
      </c>
      <c r="B167" s="92">
        <v>99.19</v>
      </c>
    </row>
    <row r="168" spans="1:2" x14ac:dyDescent="0.25">
      <c r="A168">
        <v>167</v>
      </c>
      <c r="B168" s="92">
        <v>99.79</v>
      </c>
    </row>
    <row r="169" spans="1:2" x14ac:dyDescent="0.25">
      <c r="A169">
        <v>168</v>
      </c>
      <c r="B169" s="92">
        <v>100.39</v>
      </c>
    </row>
    <row r="170" spans="1:2" x14ac:dyDescent="0.25">
      <c r="A170">
        <v>169</v>
      </c>
      <c r="B170" s="92">
        <v>100.98</v>
      </c>
    </row>
    <row r="171" spans="1:2" x14ac:dyDescent="0.25">
      <c r="A171">
        <v>170</v>
      </c>
      <c r="B171" s="92">
        <v>101.58</v>
      </c>
    </row>
    <row r="172" spans="1:2" x14ac:dyDescent="0.25">
      <c r="A172">
        <v>171</v>
      </c>
      <c r="B172" s="92">
        <v>102.18</v>
      </c>
    </row>
    <row r="173" spans="1:2" x14ac:dyDescent="0.25">
      <c r="A173">
        <v>172</v>
      </c>
      <c r="B173" s="92">
        <v>102.78</v>
      </c>
    </row>
    <row r="174" spans="1:2" x14ac:dyDescent="0.25">
      <c r="A174">
        <v>173</v>
      </c>
      <c r="B174" s="92">
        <v>103.37</v>
      </c>
    </row>
    <row r="175" spans="1:2" x14ac:dyDescent="0.25">
      <c r="A175">
        <v>174</v>
      </c>
      <c r="B175" s="92">
        <v>103.97</v>
      </c>
    </row>
    <row r="176" spans="1:2" x14ac:dyDescent="0.25">
      <c r="A176">
        <v>175</v>
      </c>
      <c r="B176" s="92">
        <v>104.57</v>
      </c>
    </row>
    <row r="177" spans="1:2" x14ac:dyDescent="0.25">
      <c r="A177">
        <v>176</v>
      </c>
      <c r="B177" s="92">
        <v>104.74</v>
      </c>
    </row>
    <row r="178" spans="1:2" x14ac:dyDescent="0.25">
      <c r="A178">
        <v>177</v>
      </c>
      <c r="B178" s="92">
        <v>104.91</v>
      </c>
    </row>
    <row r="179" spans="1:2" x14ac:dyDescent="0.25">
      <c r="A179">
        <v>178</v>
      </c>
      <c r="B179" s="92">
        <v>105.08</v>
      </c>
    </row>
    <row r="180" spans="1:2" x14ac:dyDescent="0.25">
      <c r="A180">
        <v>179</v>
      </c>
      <c r="B180" s="92">
        <v>105.25</v>
      </c>
    </row>
    <row r="181" spans="1:2" x14ac:dyDescent="0.25">
      <c r="A181">
        <v>180</v>
      </c>
      <c r="B181" s="92">
        <v>105.42</v>
      </c>
    </row>
    <row r="182" spans="1:2" x14ac:dyDescent="0.25">
      <c r="A182">
        <v>181</v>
      </c>
      <c r="B182" s="92">
        <v>105.59</v>
      </c>
    </row>
    <row r="183" spans="1:2" x14ac:dyDescent="0.25">
      <c r="A183">
        <v>182</v>
      </c>
      <c r="B183" s="92">
        <v>105.76</v>
      </c>
    </row>
    <row r="184" spans="1:2" x14ac:dyDescent="0.25">
      <c r="A184">
        <v>183</v>
      </c>
      <c r="B184" s="92">
        <v>105.93</v>
      </c>
    </row>
    <row r="185" spans="1:2" x14ac:dyDescent="0.25">
      <c r="A185">
        <v>184</v>
      </c>
      <c r="B185" s="92">
        <v>106.1035</v>
      </c>
    </row>
    <row r="186" spans="1:2" x14ac:dyDescent="0.25">
      <c r="A186">
        <v>185</v>
      </c>
      <c r="B186" s="92">
        <v>106.27</v>
      </c>
    </row>
    <row r="187" spans="1:2" x14ac:dyDescent="0.25">
      <c r="A187">
        <v>186</v>
      </c>
      <c r="B187" s="92">
        <v>106.44</v>
      </c>
    </row>
    <row r="188" spans="1:2" x14ac:dyDescent="0.25">
      <c r="A188">
        <v>187</v>
      </c>
      <c r="B188" s="92">
        <v>106.61</v>
      </c>
    </row>
    <row r="189" spans="1:2" x14ac:dyDescent="0.25">
      <c r="A189">
        <v>188</v>
      </c>
      <c r="B189" s="92">
        <v>106.78</v>
      </c>
    </row>
    <row r="190" spans="1:2" x14ac:dyDescent="0.25">
      <c r="A190">
        <v>189</v>
      </c>
      <c r="B190" s="92">
        <v>106.95</v>
      </c>
    </row>
    <row r="191" spans="1:2" x14ac:dyDescent="0.25">
      <c r="A191">
        <v>190</v>
      </c>
      <c r="B191" s="92">
        <v>107.12</v>
      </c>
    </row>
    <row r="192" spans="1:2" x14ac:dyDescent="0.25">
      <c r="A192">
        <v>191</v>
      </c>
      <c r="B192" s="92">
        <v>107.29</v>
      </c>
    </row>
    <row r="193" spans="1:2" x14ac:dyDescent="0.25">
      <c r="A193">
        <v>192</v>
      </c>
      <c r="B193" s="92">
        <v>107.46</v>
      </c>
    </row>
    <row r="194" spans="1:2" x14ac:dyDescent="0.25">
      <c r="A194">
        <v>193</v>
      </c>
      <c r="B194" s="92">
        <v>107.63</v>
      </c>
    </row>
    <row r="195" spans="1:2" x14ac:dyDescent="0.25">
      <c r="A195">
        <v>194</v>
      </c>
      <c r="B195" s="92">
        <v>107.8</v>
      </c>
    </row>
    <row r="196" spans="1:2" x14ac:dyDescent="0.25">
      <c r="A196">
        <v>195</v>
      </c>
      <c r="B196" s="92">
        <v>107.97</v>
      </c>
    </row>
    <row r="197" spans="1:2" x14ac:dyDescent="0.25">
      <c r="A197">
        <v>196</v>
      </c>
      <c r="B197" s="92">
        <v>108.14</v>
      </c>
    </row>
    <row r="198" spans="1:2" x14ac:dyDescent="0.25">
      <c r="A198">
        <v>197</v>
      </c>
      <c r="B198" s="92">
        <v>108.31</v>
      </c>
    </row>
    <row r="199" spans="1:2" x14ac:dyDescent="0.25">
      <c r="A199">
        <v>198</v>
      </c>
      <c r="B199" s="92">
        <v>108.48</v>
      </c>
    </row>
    <row r="200" spans="1:2" x14ac:dyDescent="0.25">
      <c r="A200">
        <v>199</v>
      </c>
      <c r="B200" s="92">
        <v>108.65</v>
      </c>
    </row>
    <row r="201" spans="1:2" x14ac:dyDescent="0.25">
      <c r="A201">
        <v>200</v>
      </c>
      <c r="B201" s="92">
        <v>108.82</v>
      </c>
    </row>
    <row r="202" spans="1:2" x14ac:dyDescent="0.25">
      <c r="A202">
        <v>201</v>
      </c>
      <c r="B202" s="92">
        <v>109.27</v>
      </c>
    </row>
    <row r="203" spans="1:2" x14ac:dyDescent="0.25">
      <c r="A203">
        <v>202</v>
      </c>
      <c r="B203" s="92">
        <v>109.72</v>
      </c>
    </row>
    <row r="204" spans="1:2" x14ac:dyDescent="0.25">
      <c r="A204">
        <v>203</v>
      </c>
      <c r="B204" s="92">
        <v>110.18</v>
      </c>
    </row>
    <row r="205" spans="1:2" x14ac:dyDescent="0.25">
      <c r="A205">
        <v>204</v>
      </c>
      <c r="B205" s="92">
        <v>110.63</v>
      </c>
    </row>
    <row r="206" spans="1:2" x14ac:dyDescent="0.25">
      <c r="A206">
        <v>205</v>
      </c>
      <c r="B206" s="92">
        <v>111.08</v>
      </c>
    </row>
    <row r="207" spans="1:2" x14ac:dyDescent="0.25">
      <c r="A207">
        <v>206</v>
      </c>
      <c r="B207" s="92">
        <v>111.53</v>
      </c>
    </row>
    <row r="208" spans="1:2" x14ac:dyDescent="0.25">
      <c r="A208">
        <v>207</v>
      </c>
      <c r="B208" s="92">
        <v>111.98</v>
      </c>
    </row>
    <row r="209" spans="1:2" x14ac:dyDescent="0.25">
      <c r="A209">
        <v>208</v>
      </c>
      <c r="B209" s="92">
        <v>112.43</v>
      </c>
    </row>
    <row r="210" spans="1:2" x14ac:dyDescent="0.25">
      <c r="A210">
        <v>209</v>
      </c>
      <c r="B210" s="92">
        <v>112.88</v>
      </c>
    </row>
    <row r="211" spans="1:2" x14ac:dyDescent="0.25">
      <c r="A211">
        <v>210</v>
      </c>
      <c r="B211" s="92">
        <v>113.33</v>
      </c>
    </row>
    <row r="212" spans="1:2" x14ac:dyDescent="0.25">
      <c r="A212">
        <v>211</v>
      </c>
      <c r="B212" s="92">
        <v>113.79</v>
      </c>
    </row>
    <row r="213" spans="1:2" x14ac:dyDescent="0.25">
      <c r="A213">
        <v>212</v>
      </c>
      <c r="B213" s="92">
        <v>114.24</v>
      </c>
    </row>
    <row r="214" spans="1:2" x14ac:dyDescent="0.25">
      <c r="A214">
        <v>213</v>
      </c>
      <c r="B214" s="92">
        <v>114.69</v>
      </c>
    </row>
    <row r="215" spans="1:2" x14ac:dyDescent="0.25">
      <c r="A215">
        <v>214</v>
      </c>
      <c r="B215" s="92">
        <v>115.14</v>
      </c>
    </row>
    <row r="216" spans="1:2" x14ac:dyDescent="0.25">
      <c r="A216">
        <v>215</v>
      </c>
      <c r="B216" s="92">
        <v>115.59</v>
      </c>
    </row>
    <row r="217" spans="1:2" x14ac:dyDescent="0.25">
      <c r="A217">
        <v>216</v>
      </c>
      <c r="B217" s="92">
        <v>116.04</v>
      </c>
    </row>
    <row r="218" spans="1:2" x14ac:dyDescent="0.25">
      <c r="A218">
        <v>217</v>
      </c>
      <c r="B218" s="92">
        <v>116.49</v>
      </c>
    </row>
    <row r="219" spans="1:2" x14ac:dyDescent="0.25">
      <c r="A219">
        <v>218</v>
      </c>
      <c r="B219" s="92">
        <v>116.94</v>
      </c>
    </row>
    <row r="220" spans="1:2" x14ac:dyDescent="0.25">
      <c r="A220">
        <v>219</v>
      </c>
      <c r="B220" s="92">
        <v>117.4</v>
      </c>
    </row>
    <row r="221" spans="1:2" x14ac:dyDescent="0.25">
      <c r="A221">
        <v>220</v>
      </c>
      <c r="B221" s="92">
        <v>117.85</v>
      </c>
    </row>
    <row r="222" spans="1:2" x14ac:dyDescent="0.25">
      <c r="A222">
        <v>221</v>
      </c>
      <c r="B222" s="92">
        <v>118.3</v>
      </c>
    </row>
    <row r="223" spans="1:2" x14ac:dyDescent="0.25">
      <c r="A223">
        <v>222</v>
      </c>
      <c r="B223" s="92">
        <v>118.75</v>
      </c>
    </row>
    <row r="224" spans="1:2" x14ac:dyDescent="0.25">
      <c r="A224">
        <v>223</v>
      </c>
      <c r="B224" s="92">
        <v>119.2</v>
      </c>
    </row>
    <row r="225" spans="1:2" x14ac:dyDescent="0.25">
      <c r="A225">
        <v>224</v>
      </c>
      <c r="B225" s="92">
        <v>119.65</v>
      </c>
    </row>
    <row r="226" spans="1:2" x14ac:dyDescent="0.25">
      <c r="A226">
        <v>225</v>
      </c>
      <c r="B226" s="92">
        <v>120.1</v>
      </c>
    </row>
    <row r="227" spans="1:2" x14ac:dyDescent="0.25">
      <c r="A227">
        <v>226</v>
      </c>
      <c r="B227" s="92">
        <v>120.52</v>
      </c>
    </row>
    <row r="228" spans="1:2" x14ac:dyDescent="0.25">
      <c r="A228">
        <v>227</v>
      </c>
      <c r="B228" s="92">
        <v>120.94</v>
      </c>
    </row>
    <row r="229" spans="1:2" x14ac:dyDescent="0.25">
      <c r="A229">
        <v>228</v>
      </c>
      <c r="B229" s="92">
        <v>121.36</v>
      </c>
    </row>
    <row r="230" spans="1:2" x14ac:dyDescent="0.25">
      <c r="A230">
        <v>229</v>
      </c>
      <c r="B230" s="92">
        <v>121.78</v>
      </c>
    </row>
    <row r="231" spans="1:2" x14ac:dyDescent="0.25">
      <c r="A231">
        <v>230</v>
      </c>
      <c r="B231" s="92">
        <v>122.19</v>
      </c>
    </row>
    <row r="232" spans="1:2" x14ac:dyDescent="0.25">
      <c r="A232">
        <v>231</v>
      </c>
      <c r="B232" s="92">
        <v>122.61</v>
      </c>
    </row>
    <row r="233" spans="1:2" x14ac:dyDescent="0.25">
      <c r="A233">
        <v>232</v>
      </c>
      <c r="B233" s="92">
        <v>123.03</v>
      </c>
    </row>
    <row r="234" spans="1:2" x14ac:dyDescent="0.25">
      <c r="A234">
        <v>233</v>
      </c>
      <c r="B234" s="92">
        <v>123.45</v>
      </c>
    </row>
    <row r="235" spans="1:2" x14ac:dyDescent="0.25">
      <c r="A235">
        <v>234</v>
      </c>
      <c r="B235" s="92">
        <v>123.87</v>
      </c>
    </row>
    <row r="236" spans="1:2" x14ac:dyDescent="0.25">
      <c r="A236">
        <v>235</v>
      </c>
      <c r="B236" s="92">
        <v>124.29</v>
      </c>
    </row>
    <row r="237" spans="1:2" x14ac:dyDescent="0.25">
      <c r="A237">
        <v>236</v>
      </c>
      <c r="B237" s="92">
        <v>124.7</v>
      </c>
    </row>
    <row r="238" spans="1:2" x14ac:dyDescent="0.25">
      <c r="A238">
        <v>237</v>
      </c>
      <c r="B238" s="92">
        <v>125.12</v>
      </c>
    </row>
    <row r="239" spans="1:2" x14ac:dyDescent="0.25">
      <c r="A239">
        <v>238</v>
      </c>
      <c r="B239" s="92">
        <v>125.54</v>
      </c>
    </row>
    <row r="240" spans="1:2" x14ac:dyDescent="0.25">
      <c r="A240">
        <v>239</v>
      </c>
      <c r="B240" s="92">
        <v>125.96</v>
      </c>
    </row>
    <row r="241" spans="1:2" x14ac:dyDescent="0.25">
      <c r="A241">
        <v>240</v>
      </c>
      <c r="B241" s="92">
        <v>126.38</v>
      </c>
    </row>
    <row r="242" spans="1:2" x14ac:dyDescent="0.25">
      <c r="A242">
        <v>241</v>
      </c>
      <c r="B242" s="92">
        <v>126.8</v>
      </c>
    </row>
    <row r="243" spans="1:2" x14ac:dyDescent="0.25">
      <c r="A243">
        <v>242</v>
      </c>
      <c r="B243" s="92">
        <v>127.21</v>
      </c>
    </row>
    <row r="244" spans="1:2" x14ac:dyDescent="0.25">
      <c r="A244">
        <v>243</v>
      </c>
      <c r="B244" s="92">
        <v>127.63</v>
      </c>
    </row>
    <row r="245" spans="1:2" x14ac:dyDescent="0.25">
      <c r="A245">
        <v>244</v>
      </c>
      <c r="B245" s="92">
        <v>128.05000000000001</v>
      </c>
    </row>
    <row r="246" spans="1:2" x14ac:dyDescent="0.25">
      <c r="A246">
        <v>245</v>
      </c>
      <c r="B246" s="92">
        <v>128.47</v>
      </c>
    </row>
    <row r="247" spans="1:2" x14ac:dyDescent="0.25">
      <c r="A247">
        <v>246</v>
      </c>
      <c r="B247" s="92">
        <v>128.88999999999999</v>
      </c>
    </row>
    <row r="248" spans="1:2" x14ac:dyDescent="0.25">
      <c r="A248">
        <v>247</v>
      </c>
      <c r="B248" s="92">
        <v>129.31</v>
      </c>
    </row>
    <row r="249" spans="1:2" x14ac:dyDescent="0.25">
      <c r="A249">
        <v>248</v>
      </c>
      <c r="B249" s="92">
        <v>129.72999999999999</v>
      </c>
    </row>
    <row r="250" spans="1:2" x14ac:dyDescent="0.25">
      <c r="A250">
        <v>249</v>
      </c>
      <c r="B250" s="92">
        <v>130.13999999999999</v>
      </c>
    </row>
    <row r="251" spans="1:2" x14ac:dyDescent="0.25">
      <c r="A251">
        <v>250</v>
      </c>
      <c r="B251" s="92">
        <v>130.56</v>
      </c>
    </row>
    <row r="252" spans="1:2" x14ac:dyDescent="0.25">
      <c r="A252">
        <v>251</v>
      </c>
      <c r="B252" s="92">
        <v>131.04</v>
      </c>
    </row>
    <row r="253" spans="1:2" x14ac:dyDescent="0.25">
      <c r="A253">
        <v>252</v>
      </c>
      <c r="B253" s="92">
        <v>131.53</v>
      </c>
    </row>
    <row r="254" spans="1:2" x14ac:dyDescent="0.25">
      <c r="A254">
        <v>253</v>
      </c>
      <c r="B254" s="92">
        <v>132.01</v>
      </c>
    </row>
    <row r="255" spans="1:2" x14ac:dyDescent="0.25">
      <c r="A255">
        <v>254</v>
      </c>
      <c r="B255" s="92">
        <v>132.49</v>
      </c>
    </row>
    <row r="256" spans="1:2" x14ac:dyDescent="0.25">
      <c r="A256">
        <v>255</v>
      </c>
      <c r="B256" s="92">
        <v>132.97</v>
      </c>
    </row>
    <row r="257" spans="1:2" x14ac:dyDescent="0.25">
      <c r="A257">
        <v>256</v>
      </c>
      <c r="B257" s="92">
        <v>133.44999999999999</v>
      </c>
    </row>
    <row r="258" spans="1:2" x14ac:dyDescent="0.25">
      <c r="A258">
        <v>257</v>
      </c>
      <c r="B258" s="92">
        <v>133.93</v>
      </c>
    </row>
    <row r="259" spans="1:2" x14ac:dyDescent="0.25">
      <c r="A259">
        <v>258</v>
      </c>
      <c r="B259" s="92">
        <v>134.41999999999999</v>
      </c>
    </row>
    <row r="260" spans="1:2" x14ac:dyDescent="0.25">
      <c r="A260">
        <v>259</v>
      </c>
      <c r="B260" s="92">
        <v>134.9</v>
      </c>
    </row>
    <row r="261" spans="1:2" x14ac:dyDescent="0.25">
      <c r="A261">
        <v>260</v>
      </c>
      <c r="B261" s="92">
        <v>135.38</v>
      </c>
    </row>
    <row r="262" spans="1:2" x14ac:dyDescent="0.25">
      <c r="A262">
        <v>261</v>
      </c>
      <c r="B262" s="92">
        <v>135.86000000000001</v>
      </c>
    </row>
    <row r="263" spans="1:2" x14ac:dyDescent="0.25">
      <c r="A263">
        <v>262</v>
      </c>
      <c r="B263" s="92">
        <v>136.34</v>
      </c>
    </row>
    <row r="264" spans="1:2" x14ac:dyDescent="0.25">
      <c r="A264">
        <v>263</v>
      </c>
      <c r="B264" s="92">
        <v>136.83000000000001</v>
      </c>
    </row>
    <row r="265" spans="1:2" x14ac:dyDescent="0.25">
      <c r="A265">
        <v>264</v>
      </c>
      <c r="B265" s="92">
        <v>137.31</v>
      </c>
    </row>
    <row r="266" spans="1:2" x14ac:dyDescent="0.25">
      <c r="A266">
        <v>265</v>
      </c>
      <c r="B266" s="92">
        <v>137.79</v>
      </c>
    </row>
    <row r="267" spans="1:2" x14ac:dyDescent="0.25">
      <c r="A267">
        <v>266</v>
      </c>
      <c r="B267" s="92">
        <v>138.27000000000001</v>
      </c>
    </row>
    <row r="268" spans="1:2" x14ac:dyDescent="0.25">
      <c r="A268">
        <v>267</v>
      </c>
      <c r="B268" s="92">
        <v>138.75</v>
      </c>
    </row>
    <row r="269" spans="1:2" x14ac:dyDescent="0.25">
      <c r="A269">
        <v>268</v>
      </c>
      <c r="B269" s="92">
        <v>139.22999999999999</v>
      </c>
    </row>
    <row r="270" spans="1:2" x14ac:dyDescent="0.25">
      <c r="A270">
        <v>269</v>
      </c>
      <c r="B270" s="92">
        <v>139.72</v>
      </c>
    </row>
    <row r="271" spans="1:2" x14ac:dyDescent="0.25">
      <c r="A271">
        <v>270</v>
      </c>
      <c r="B271" s="92">
        <v>140.19999999999999</v>
      </c>
    </row>
    <row r="272" spans="1:2" x14ac:dyDescent="0.25">
      <c r="A272">
        <v>271</v>
      </c>
      <c r="B272" s="92">
        <v>140.68</v>
      </c>
    </row>
    <row r="273" spans="1:2" x14ac:dyDescent="0.25">
      <c r="A273">
        <v>272</v>
      </c>
      <c r="B273" s="92">
        <v>141.16</v>
      </c>
    </row>
    <row r="274" spans="1:2" x14ac:dyDescent="0.25">
      <c r="A274">
        <v>273</v>
      </c>
      <c r="B274" s="92">
        <v>141.63999999999999</v>
      </c>
    </row>
    <row r="275" spans="1:2" x14ac:dyDescent="0.25">
      <c r="A275">
        <v>274</v>
      </c>
      <c r="B275" s="92">
        <v>142.13</v>
      </c>
    </row>
    <row r="276" spans="1:2" x14ac:dyDescent="0.25">
      <c r="A276">
        <v>275</v>
      </c>
      <c r="B276" s="92">
        <v>142.61000000000001</v>
      </c>
    </row>
    <row r="277" spans="1:2" x14ac:dyDescent="0.25">
      <c r="A277">
        <v>276</v>
      </c>
      <c r="B277" s="92">
        <v>143.06</v>
      </c>
    </row>
    <row r="278" spans="1:2" x14ac:dyDescent="0.25">
      <c r="A278">
        <v>277</v>
      </c>
      <c r="B278" s="92">
        <v>143.51</v>
      </c>
    </row>
    <row r="279" spans="1:2" x14ac:dyDescent="0.25">
      <c r="A279">
        <v>278</v>
      </c>
      <c r="B279" s="92">
        <v>143.96</v>
      </c>
    </row>
    <row r="280" spans="1:2" x14ac:dyDescent="0.25">
      <c r="A280">
        <v>279</v>
      </c>
      <c r="B280" s="92">
        <v>144.41</v>
      </c>
    </row>
    <row r="281" spans="1:2" x14ac:dyDescent="0.25">
      <c r="A281">
        <v>280</v>
      </c>
      <c r="B281" s="92">
        <v>144.86000000000001</v>
      </c>
    </row>
    <row r="282" spans="1:2" x14ac:dyDescent="0.25">
      <c r="A282">
        <v>281</v>
      </c>
      <c r="B282" s="92">
        <v>145.31</v>
      </c>
    </row>
    <row r="283" spans="1:2" x14ac:dyDescent="0.25">
      <c r="A283">
        <v>282</v>
      </c>
      <c r="B283" s="92">
        <v>145.77000000000001</v>
      </c>
    </row>
    <row r="284" spans="1:2" x14ac:dyDescent="0.25">
      <c r="A284">
        <v>283</v>
      </c>
      <c r="B284" s="92">
        <v>146.22</v>
      </c>
    </row>
    <row r="285" spans="1:2" x14ac:dyDescent="0.25">
      <c r="A285">
        <v>284</v>
      </c>
      <c r="B285" s="92">
        <v>146.66999999999999</v>
      </c>
    </row>
    <row r="286" spans="1:2" x14ac:dyDescent="0.25">
      <c r="A286">
        <v>285</v>
      </c>
      <c r="B286" s="92">
        <v>147.12</v>
      </c>
    </row>
    <row r="287" spans="1:2" x14ac:dyDescent="0.25">
      <c r="A287">
        <v>286</v>
      </c>
      <c r="B287" s="92">
        <v>147.57</v>
      </c>
    </row>
    <row r="288" spans="1:2" x14ac:dyDescent="0.25">
      <c r="A288">
        <v>287</v>
      </c>
      <c r="B288" s="92">
        <v>148.02000000000001</v>
      </c>
    </row>
    <row r="289" spans="1:2" x14ac:dyDescent="0.25">
      <c r="A289">
        <v>288</v>
      </c>
      <c r="B289" s="92">
        <v>148.47</v>
      </c>
    </row>
    <row r="290" spans="1:2" x14ac:dyDescent="0.25">
      <c r="A290">
        <v>289</v>
      </c>
      <c r="B290" s="92">
        <v>148.91999999999999</v>
      </c>
    </row>
    <row r="291" spans="1:2" x14ac:dyDescent="0.25">
      <c r="A291">
        <v>290</v>
      </c>
      <c r="B291" s="92">
        <v>149.37</v>
      </c>
    </row>
    <row r="292" spans="1:2" x14ac:dyDescent="0.25">
      <c r="A292">
        <v>291</v>
      </c>
      <c r="B292" s="92">
        <v>149.83000000000001</v>
      </c>
    </row>
    <row r="293" spans="1:2" x14ac:dyDescent="0.25">
      <c r="A293">
        <v>292</v>
      </c>
      <c r="B293" s="92">
        <v>150.28</v>
      </c>
    </row>
    <row r="294" spans="1:2" x14ac:dyDescent="0.25">
      <c r="A294">
        <v>293</v>
      </c>
      <c r="B294" s="92">
        <v>150.72999999999999</v>
      </c>
    </row>
    <row r="295" spans="1:2" x14ac:dyDescent="0.25">
      <c r="A295">
        <v>294</v>
      </c>
      <c r="B295" s="92">
        <v>151.18</v>
      </c>
    </row>
    <row r="296" spans="1:2" x14ac:dyDescent="0.25">
      <c r="A296">
        <v>295</v>
      </c>
      <c r="B296" s="92">
        <v>151.63</v>
      </c>
    </row>
    <row r="297" spans="1:2" x14ac:dyDescent="0.25">
      <c r="A297">
        <v>296</v>
      </c>
      <c r="B297" s="92">
        <v>152.08000000000001</v>
      </c>
    </row>
    <row r="298" spans="1:2" x14ac:dyDescent="0.25">
      <c r="A298">
        <v>297</v>
      </c>
      <c r="B298" s="92">
        <v>152.53</v>
      </c>
    </row>
    <row r="299" spans="1:2" x14ac:dyDescent="0.25">
      <c r="A299">
        <v>298</v>
      </c>
      <c r="B299" s="92">
        <v>152.97999999999999</v>
      </c>
    </row>
    <row r="300" spans="1:2" x14ac:dyDescent="0.25">
      <c r="A300">
        <v>299</v>
      </c>
      <c r="B300" s="92">
        <v>153.44</v>
      </c>
    </row>
    <row r="301" spans="1:2" x14ac:dyDescent="0.25">
      <c r="A301">
        <v>300</v>
      </c>
      <c r="B301" s="92">
        <v>153.88999999999999</v>
      </c>
    </row>
    <row r="302" spans="1:2" x14ac:dyDescent="0.25">
      <c r="A302">
        <v>301</v>
      </c>
      <c r="B302" s="92">
        <v>154.19999999999999</v>
      </c>
    </row>
    <row r="303" spans="1:2" x14ac:dyDescent="0.25">
      <c r="A303">
        <v>302</v>
      </c>
      <c r="B303" s="92">
        <v>154.51</v>
      </c>
    </row>
    <row r="304" spans="1:2" x14ac:dyDescent="0.25">
      <c r="A304">
        <v>303</v>
      </c>
      <c r="B304" s="92">
        <v>154.82</v>
      </c>
    </row>
    <row r="305" spans="1:2" x14ac:dyDescent="0.25">
      <c r="A305">
        <v>304</v>
      </c>
      <c r="B305" s="92">
        <v>155.13</v>
      </c>
    </row>
    <row r="306" spans="1:2" x14ac:dyDescent="0.25">
      <c r="A306">
        <v>305</v>
      </c>
      <c r="B306" s="92">
        <v>155.44999999999999</v>
      </c>
    </row>
    <row r="307" spans="1:2" x14ac:dyDescent="0.25">
      <c r="A307">
        <v>306</v>
      </c>
      <c r="B307" s="92">
        <v>155.76</v>
      </c>
    </row>
    <row r="308" spans="1:2" x14ac:dyDescent="0.25">
      <c r="A308">
        <v>307</v>
      </c>
      <c r="B308" s="92">
        <v>156.07</v>
      </c>
    </row>
    <row r="309" spans="1:2" x14ac:dyDescent="0.25">
      <c r="A309">
        <v>308</v>
      </c>
      <c r="B309" s="92">
        <v>156.38</v>
      </c>
    </row>
    <row r="310" spans="1:2" x14ac:dyDescent="0.25">
      <c r="A310">
        <v>309</v>
      </c>
      <c r="B310" s="92">
        <v>156.69</v>
      </c>
    </row>
    <row r="311" spans="1:2" x14ac:dyDescent="0.25">
      <c r="A311">
        <v>310</v>
      </c>
      <c r="B311" s="92">
        <v>157.01</v>
      </c>
    </row>
    <row r="312" spans="1:2" x14ac:dyDescent="0.25">
      <c r="A312">
        <v>311</v>
      </c>
      <c r="B312" s="92">
        <v>157.32</v>
      </c>
    </row>
    <row r="313" spans="1:2" x14ac:dyDescent="0.25">
      <c r="A313">
        <v>312</v>
      </c>
      <c r="B313" s="92">
        <v>157.63</v>
      </c>
    </row>
    <row r="314" spans="1:2" x14ac:dyDescent="0.25">
      <c r="A314">
        <v>313</v>
      </c>
      <c r="B314" s="92">
        <v>157.94</v>
      </c>
    </row>
    <row r="315" spans="1:2" x14ac:dyDescent="0.25">
      <c r="A315">
        <v>314</v>
      </c>
      <c r="B315" s="92">
        <v>158.25</v>
      </c>
    </row>
    <row r="316" spans="1:2" x14ac:dyDescent="0.25">
      <c r="A316">
        <v>315</v>
      </c>
      <c r="B316" s="92">
        <v>158.56</v>
      </c>
    </row>
    <row r="317" spans="1:2" x14ac:dyDescent="0.25">
      <c r="A317">
        <v>316</v>
      </c>
      <c r="B317" s="92">
        <v>158.88</v>
      </c>
    </row>
    <row r="318" spans="1:2" x14ac:dyDescent="0.25">
      <c r="A318">
        <v>317</v>
      </c>
      <c r="B318" s="92">
        <v>159.19</v>
      </c>
    </row>
    <row r="319" spans="1:2" x14ac:dyDescent="0.25">
      <c r="A319">
        <v>318</v>
      </c>
      <c r="B319" s="92">
        <v>159.5</v>
      </c>
    </row>
    <row r="320" spans="1:2" x14ac:dyDescent="0.25">
      <c r="A320">
        <v>319</v>
      </c>
      <c r="B320" s="92">
        <v>159.81</v>
      </c>
    </row>
    <row r="321" spans="1:2" x14ac:dyDescent="0.25">
      <c r="A321">
        <v>320</v>
      </c>
      <c r="B321" s="92">
        <v>160.12</v>
      </c>
    </row>
    <row r="322" spans="1:2" x14ac:dyDescent="0.25">
      <c r="A322">
        <v>321</v>
      </c>
      <c r="B322" s="92">
        <v>160.44</v>
      </c>
    </row>
    <row r="323" spans="1:2" x14ac:dyDescent="0.25">
      <c r="A323">
        <v>322</v>
      </c>
      <c r="B323" s="92">
        <v>160.75</v>
      </c>
    </row>
    <row r="324" spans="1:2" x14ac:dyDescent="0.25">
      <c r="A324">
        <v>323</v>
      </c>
      <c r="B324" s="92">
        <v>161.06</v>
      </c>
    </row>
    <row r="325" spans="1:2" x14ac:dyDescent="0.25">
      <c r="A325">
        <v>324</v>
      </c>
      <c r="B325" s="92">
        <v>161.37</v>
      </c>
    </row>
    <row r="326" spans="1:2" x14ac:dyDescent="0.25">
      <c r="A326">
        <v>325</v>
      </c>
      <c r="B326" s="92">
        <v>161.68</v>
      </c>
    </row>
    <row r="327" spans="1:2" x14ac:dyDescent="0.25">
      <c r="A327">
        <v>326</v>
      </c>
      <c r="B327" s="92">
        <v>162.02000000000001</v>
      </c>
    </row>
    <row r="328" spans="1:2" x14ac:dyDescent="0.25">
      <c r="A328">
        <v>327</v>
      </c>
      <c r="B328" s="92">
        <v>162.35</v>
      </c>
    </row>
    <row r="329" spans="1:2" x14ac:dyDescent="0.25">
      <c r="A329">
        <v>328</v>
      </c>
      <c r="B329" s="92">
        <v>162.68</v>
      </c>
    </row>
    <row r="330" spans="1:2" x14ac:dyDescent="0.25">
      <c r="A330">
        <v>329</v>
      </c>
      <c r="B330" s="92">
        <v>163.01</v>
      </c>
    </row>
    <row r="331" spans="1:2" x14ac:dyDescent="0.25">
      <c r="A331">
        <v>330</v>
      </c>
      <c r="B331" s="92">
        <v>163.34</v>
      </c>
    </row>
    <row r="332" spans="1:2" x14ac:dyDescent="0.25">
      <c r="A332">
        <v>331</v>
      </c>
      <c r="B332" s="92">
        <v>163.68</v>
      </c>
    </row>
    <row r="333" spans="1:2" x14ac:dyDescent="0.25">
      <c r="A333">
        <v>332</v>
      </c>
      <c r="B333" s="92">
        <v>164.01</v>
      </c>
    </row>
    <row r="334" spans="1:2" x14ac:dyDescent="0.25">
      <c r="A334">
        <v>333</v>
      </c>
      <c r="B334" s="92">
        <v>164.34</v>
      </c>
    </row>
    <row r="335" spans="1:2" x14ac:dyDescent="0.25">
      <c r="A335">
        <v>334</v>
      </c>
      <c r="B335" s="92">
        <v>164.67</v>
      </c>
    </row>
    <row r="336" spans="1:2" x14ac:dyDescent="0.25">
      <c r="A336">
        <v>335</v>
      </c>
      <c r="B336" s="92">
        <v>165.01</v>
      </c>
    </row>
    <row r="337" spans="1:2" x14ac:dyDescent="0.25">
      <c r="A337">
        <v>336</v>
      </c>
      <c r="B337" s="92">
        <v>165.34</v>
      </c>
    </row>
    <row r="338" spans="1:2" x14ac:dyDescent="0.25">
      <c r="A338">
        <v>337</v>
      </c>
      <c r="B338" s="92">
        <v>165.67</v>
      </c>
    </row>
    <row r="339" spans="1:2" x14ac:dyDescent="0.25">
      <c r="A339">
        <v>338</v>
      </c>
      <c r="B339" s="92">
        <v>166</v>
      </c>
    </row>
    <row r="340" spans="1:2" x14ac:dyDescent="0.25">
      <c r="A340">
        <v>339</v>
      </c>
      <c r="B340" s="92">
        <v>166.34</v>
      </c>
    </row>
    <row r="341" spans="1:2" x14ac:dyDescent="0.25">
      <c r="A341">
        <v>340</v>
      </c>
      <c r="B341" s="92">
        <v>166.67</v>
      </c>
    </row>
    <row r="342" spans="1:2" x14ac:dyDescent="0.25">
      <c r="A342">
        <v>341</v>
      </c>
      <c r="B342" s="92">
        <v>167</v>
      </c>
    </row>
    <row r="343" spans="1:2" x14ac:dyDescent="0.25">
      <c r="A343">
        <v>342</v>
      </c>
      <c r="B343" s="92">
        <v>167.33</v>
      </c>
    </row>
    <row r="344" spans="1:2" x14ac:dyDescent="0.25">
      <c r="A344">
        <v>343</v>
      </c>
      <c r="B344" s="92">
        <v>167.66</v>
      </c>
    </row>
    <row r="345" spans="1:2" x14ac:dyDescent="0.25">
      <c r="A345">
        <v>344</v>
      </c>
      <c r="B345" s="92">
        <v>168</v>
      </c>
    </row>
    <row r="346" spans="1:2" x14ac:dyDescent="0.25">
      <c r="A346">
        <v>345</v>
      </c>
      <c r="B346" s="92">
        <v>168.33</v>
      </c>
    </row>
    <row r="347" spans="1:2" x14ac:dyDescent="0.25">
      <c r="A347">
        <v>346</v>
      </c>
      <c r="B347" s="92">
        <v>168.66</v>
      </c>
    </row>
    <row r="348" spans="1:2" x14ac:dyDescent="0.25">
      <c r="A348">
        <v>347</v>
      </c>
      <c r="B348" s="92">
        <v>168.99</v>
      </c>
    </row>
    <row r="349" spans="1:2" x14ac:dyDescent="0.25">
      <c r="A349">
        <v>348</v>
      </c>
      <c r="B349" s="92">
        <v>169.33</v>
      </c>
    </row>
    <row r="350" spans="1:2" x14ac:dyDescent="0.25">
      <c r="A350">
        <v>349</v>
      </c>
      <c r="B350" s="92">
        <v>169.66</v>
      </c>
    </row>
    <row r="351" spans="1:2" x14ac:dyDescent="0.25">
      <c r="A351">
        <v>350</v>
      </c>
      <c r="B351" s="92">
        <v>169.99</v>
      </c>
    </row>
    <row r="352" spans="1:2" x14ac:dyDescent="0.25">
      <c r="A352">
        <v>351</v>
      </c>
      <c r="B352" s="92">
        <v>170.17</v>
      </c>
    </row>
    <row r="353" spans="1:2" x14ac:dyDescent="0.25">
      <c r="A353">
        <v>352</v>
      </c>
      <c r="B353" s="92">
        <v>170.35</v>
      </c>
    </row>
    <row r="354" spans="1:2" x14ac:dyDescent="0.25">
      <c r="A354">
        <v>353</v>
      </c>
      <c r="B354" s="92">
        <v>170.54</v>
      </c>
    </row>
    <row r="355" spans="1:2" x14ac:dyDescent="0.25">
      <c r="A355">
        <v>354</v>
      </c>
      <c r="B355" s="92">
        <v>170.72</v>
      </c>
    </row>
    <row r="356" spans="1:2" x14ac:dyDescent="0.25">
      <c r="A356">
        <v>355</v>
      </c>
      <c r="B356" s="92">
        <v>170.9</v>
      </c>
    </row>
    <row r="357" spans="1:2" x14ac:dyDescent="0.25">
      <c r="A357">
        <v>356</v>
      </c>
      <c r="B357" s="92">
        <v>171.08</v>
      </c>
    </row>
    <row r="358" spans="1:2" x14ac:dyDescent="0.25">
      <c r="A358">
        <v>357</v>
      </c>
      <c r="B358" s="92">
        <v>171.26</v>
      </c>
    </row>
    <row r="359" spans="1:2" x14ac:dyDescent="0.25">
      <c r="A359">
        <v>358</v>
      </c>
      <c r="B359" s="92">
        <v>171.44</v>
      </c>
    </row>
    <row r="360" spans="1:2" x14ac:dyDescent="0.25">
      <c r="A360">
        <v>359</v>
      </c>
      <c r="B360" s="92">
        <v>171.63</v>
      </c>
    </row>
    <row r="361" spans="1:2" x14ac:dyDescent="0.25">
      <c r="A361">
        <v>360</v>
      </c>
      <c r="B361" s="92">
        <v>171.81</v>
      </c>
    </row>
    <row r="362" spans="1:2" x14ac:dyDescent="0.25">
      <c r="A362">
        <v>361</v>
      </c>
      <c r="B362" s="92">
        <v>171.99</v>
      </c>
    </row>
    <row r="363" spans="1:2" x14ac:dyDescent="0.25">
      <c r="A363">
        <v>362</v>
      </c>
      <c r="B363" s="92">
        <v>172.17</v>
      </c>
    </row>
    <row r="364" spans="1:2" x14ac:dyDescent="0.25">
      <c r="A364">
        <v>363</v>
      </c>
      <c r="B364" s="92">
        <v>172.35</v>
      </c>
    </row>
    <row r="365" spans="1:2" x14ac:dyDescent="0.25">
      <c r="A365">
        <v>364</v>
      </c>
      <c r="B365" s="92">
        <v>172.53</v>
      </c>
    </row>
    <row r="366" spans="1:2" x14ac:dyDescent="0.25">
      <c r="A366">
        <v>365</v>
      </c>
      <c r="B366" s="92">
        <v>172.72</v>
      </c>
    </row>
    <row r="367" spans="1:2" x14ac:dyDescent="0.25">
      <c r="A367">
        <v>366</v>
      </c>
      <c r="B367" s="92">
        <v>172.90217000000001</v>
      </c>
    </row>
    <row r="368" spans="1:2" x14ac:dyDescent="0.25">
      <c r="A368">
        <v>367</v>
      </c>
      <c r="B368" s="92">
        <v>173.08</v>
      </c>
    </row>
    <row r="369" spans="1:2" x14ac:dyDescent="0.25">
      <c r="A369">
        <v>368</v>
      </c>
      <c r="B369" s="92">
        <v>173.26</v>
      </c>
    </row>
    <row r="370" spans="1:2" x14ac:dyDescent="0.25">
      <c r="A370">
        <v>369</v>
      </c>
      <c r="B370" s="92">
        <v>173.44</v>
      </c>
    </row>
    <row r="371" spans="1:2" x14ac:dyDescent="0.25">
      <c r="A371">
        <v>370</v>
      </c>
      <c r="B371" s="92">
        <v>173.63</v>
      </c>
    </row>
    <row r="372" spans="1:2" x14ac:dyDescent="0.25">
      <c r="A372">
        <v>371</v>
      </c>
      <c r="B372" s="92">
        <v>173.81</v>
      </c>
    </row>
    <row r="373" spans="1:2" x14ac:dyDescent="0.25">
      <c r="A373">
        <v>372</v>
      </c>
      <c r="B373" s="92">
        <v>173.99</v>
      </c>
    </row>
    <row r="374" spans="1:2" x14ac:dyDescent="0.25">
      <c r="A374">
        <v>373</v>
      </c>
      <c r="B374" s="92">
        <v>174.17</v>
      </c>
    </row>
    <row r="375" spans="1:2" x14ac:dyDescent="0.25">
      <c r="A375">
        <v>374</v>
      </c>
      <c r="B375" s="92">
        <v>174.35</v>
      </c>
    </row>
    <row r="376" spans="1:2" x14ac:dyDescent="0.25">
      <c r="A376">
        <v>375</v>
      </c>
      <c r="B376" s="92">
        <v>174.53</v>
      </c>
    </row>
    <row r="377" spans="1:2" x14ac:dyDescent="0.25">
      <c r="A377">
        <v>376</v>
      </c>
      <c r="B377" s="92">
        <v>174.68</v>
      </c>
    </row>
    <row r="378" spans="1:2" x14ac:dyDescent="0.25">
      <c r="A378">
        <v>377</v>
      </c>
      <c r="B378" s="92">
        <v>174.83</v>
      </c>
    </row>
    <row r="379" spans="1:2" x14ac:dyDescent="0.25">
      <c r="A379">
        <v>378</v>
      </c>
      <c r="B379" s="92">
        <v>174.98</v>
      </c>
    </row>
    <row r="380" spans="1:2" x14ac:dyDescent="0.25">
      <c r="A380">
        <v>379</v>
      </c>
      <c r="B380" s="92">
        <v>175.12</v>
      </c>
    </row>
    <row r="381" spans="1:2" x14ac:dyDescent="0.25">
      <c r="A381">
        <v>380</v>
      </c>
      <c r="B381" s="92">
        <v>175.27</v>
      </c>
    </row>
    <row r="382" spans="1:2" x14ac:dyDescent="0.25">
      <c r="A382">
        <v>381</v>
      </c>
      <c r="B382" s="92">
        <v>175.42</v>
      </c>
    </row>
    <row r="383" spans="1:2" x14ac:dyDescent="0.25">
      <c r="A383">
        <v>382</v>
      </c>
      <c r="B383" s="92">
        <v>175.57</v>
      </c>
    </row>
    <row r="384" spans="1:2" x14ac:dyDescent="0.25">
      <c r="A384">
        <v>383</v>
      </c>
      <c r="B384" s="92">
        <v>175.72</v>
      </c>
    </row>
    <row r="385" spans="1:2" x14ac:dyDescent="0.25">
      <c r="A385">
        <v>384</v>
      </c>
      <c r="B385" s="92">
        <v>175.86</v>
      </c>
    </row>
    <row r="386" spans="1:2" x14ac:dyDescent="0.25">
      <c r="A386">
        <v>385</v>
      </c>
      <c r="B386" s="92">
        <v>176.01</v>
      </c>
    </row>
    <row r="387" spans="1:2" x14ac:dyDescent="0.25">
      <c r="A387">
        <v>386</v>
      </c>
      <c r="B387" s="92">
        <v>176.16</v>
      </c>
    </row>
    <row r="388" spans="1:2" x14ac:dyDescent="0.25">
      <c r="A388">
        <v>387</v>
      </c>
      <c r="B388" s="92">
        <v>176.31</v>
      </c>
    </row>
    <row r="389" spans="1:2" x14ac:dyDescent="0.25">
      <c r="A389">
        <v>388</v>
      </c>
      <c r="B389" s="92">
        <v>176.45</v>
      </c>
    </row>
    <row r="390" spans="1:2" x14ac:dyDescent="0.25">
      <c r="A390">
        <v>389</v>
      </c>
      <c r="B390" s="92">
        <v>176.6</v>
      </c>
    </row>
    <row r="391" spans="1:2" x14ac:dyDescent="0.25">
      <c r="A391">
        <v>390</v>
      </c>
      <c r="B391" s="92">
        <v>176.75</v>
      </c>
    </row>
    <row r="392" spans="1:2" x14ac:dyDescent="0.25">
      <c r="A392">
        <v>391</v>
      </c>
      <c r="B392" s="92">
        <v>176.9</v>
      </c>
    </row>
    <row r="393" spans="1:2" x14ac:dyDescent="0.25">
      <c r="A393">
        <v>392</v>
      </c>
      <c r="B393" s="92">
        <v>177.04</v>
      </c>
    </row>
    <row r="394" spans="1:2" x14ac:dyDescent="0.25">
      <c r="A394">
        <v>393</v>
      </c>
      <c r="B394" s="92">
        <v>177.19</v>
      </c>
    </row>
    <row r="395" spans="1:2" x14ac:dyDescent="0.25">
      <c r="A395">
        <v>394</v>
      </c>
      <c r="B395" s="92">
        <v>177.34</v>
      </c>
    </row>
    <row r="396" spans="1:2" x14ac:dyDescent="0.25">
      <c r="A396">
        <v>395</v>
      </c>
      <c r="B396" s="92">
        <v>177.49</v>
      </c>
    </row>
    <row r="397" spans="1:2" x14ac:dyDescent="0.25">
      <c r="A397">
        <v>396</v>
      </c>
      <c r="B397" s="92">
        <v>177.63</v>
      </c>
    </row>
    <row r="398" spans="1:2" x14ac:dyDescent="0.25">
      <c r="A398">
        <v>397</v>
      </c>
      <c r="B398" s="92">
        <v>177.78</v>
      </c>
    </row>
    <row r="399" spans="1:2" x14ac:dyDescent="0.25">
      <c r="A399">
        <v>398</v>
      </c>
      <c r="B399" s="92">
        <v>177.93</v>
      </c>
    </row>
    <row r="400" spans="1:2" x14ac:dyDescent="0.25">
      <c r="A400">
        <v>399</v>
      </c>
      <c r="B400" s="92">
        <v>178.08</v>
      </c>
    </row>
    <row r="401" spans="1:2" x14ac:dyDescent="0.25">
      <c r="A401">
        <v>400</v>
      </c>
      <c r="B401" s="92">
        <v>178.23</v>
      </c>
    </row>
    <row r="402" spans="1:2" x14ac:dyDescent="0.25">
      <c r="A402">
        <v>401</v>
      </c>
      <c r="B402" s="92">
        <v>178.33</v>
      </c>
    </row>
    <row r="403" spans="1:2" x14ac:dyDescent="0.25">
      <c r="A403">
        <v>402</v>
      </c>
      <c r="B403" s="92">
        <v>178.44</v>
      </c>
    </row>
    <row r="404" spans="1:2" x14ac:dyDescent="0.25">
      <c r="A404">
        <v>403</v>
      </c>
      <c r="B404" s="92">
        <v>178.55</v>
      </c>
    </row>
    <row r="405" spans="1:2" x14ac:dyDescent="0.25">
      <c r="A405">
        <v>404</v>
      </c>
      <c r="B405" s="92">
        <v>178.66</v>
      </c>
    </row>
    <row r="406" spans="1:2" x14ac:dyDescent="0.25">
      <c r="A406">
        <v>405</v>
      </c>
      <c r="B406" s="92">
        <v>178.77</v>
      </c>
    </row>
    <row r="407" spans="1:2" x14ac:dyDescent="0.25">
      <c r="A407">
        <v>406</v>
      </c>
      <c r="B407" s="92">
        <v>178.88</v>
      </c>
    </row>
    <row r="408" spans="1:2" x14ac:dyDescent="0.25">
      <c r="A408">
        <v>407</v>
      </c>
      <c r="B408" s="92">
        <v>178.99</v>
      </c>
    </row>
    <row r="409" spans="1:2" x14ac:dyDescent="0.25">
      <c r="A409">
        <v>408</v>
      </c>
      <c r="B409" s="92">
        <v>179.1</v>
      </c>
    </row>
    <row r="410" spans="1:2" x14ac:dyDescent="0.25">
      <c r="A410">
        <v>409</v>
      </c>
      <c r="B410" s="92">
        <v>179.21</v>
      </c>
    </row>
    <row r="411" spans="1:2" x14ac:dyDescent="0.25">
      <c r="A411">
        <v>410</v>
      </c>
      <c r="B411" s="92">
        <v>179.31</v>
      </c>
    </row>
    <row r="412" spans="1:2" x14ac:dyDescent="0.25">
      <c r="A412">
        <v>411</v>
      </c>
      <c r="B412" s="92">
        <v>179.42</v>
      </c>
    </row>
    <row r="413" spans="1:2" x14ac:dyDescent="0.25">
      <c r="A413">
        <v>412</v>
      </c>
      <c r="B413" s="92">
        <v>179.53</v>
      </c>
    </row>
    <row r="414" spans="1:2" x14ac:dyDescent="0.25">
      <c r="A414">
        <v>413</v>
      </c>
      <c r="B414" s="92">
        <v>179.64</v>
      </c>
    </row>
    <row r="415" spans="1:2" x14ac:dyDescent="0.25">
      <c r="A415">
        <v>414</v>
      </c>
      <c r="B415" s="92">
        <v>179.75</v>
      </c>
    </row>
    <row r="416" spans="1:2" x14ac:dyDescent="0.25">
      <c r="A416">
        <v>415</v>
      </c>
      <c r="B416" s="92">
        <v>179.86</v>
      </c>
    </row>
    <row r="417" spans="1:2" x14ac:dyDescent="0.25">
      <c r="A417">
        <v>416</v>
      </c>
      <c r="B417" s="92">
        <v>179.97</v>
      </c>
    </row>
    <row r="418" spans="1:2" x14ac:dyDescent="0.25">
      <c r="A418">
        <v>417</v>
      </c>
      <c r="B418" s="92">
        <v>180.08</v>
      </c>
    </row>
    <row r="419" spans="1:2" x14ac:dyDescent="0.25">
      <c r="A419">
        <v>418</v>
      </c>
      <c r="B419" s="92">
        <v>180.19</v>
      </c>
    </row>
    <row r="420" spans="1:2" x14ac:dyDescent="0.25">
      <c r="A420">
        <v>419</v>
      </c>
      <c r="B420" s="92">
        <v>180.29</v>
      </c>
    </row>
    <row r="421" spans="1:2" x14ac:dyDescent="0.25">
      <c r="A421">
        <v>420</v>
      </c>
      <c r="B421" s="92">
        <v>180.4</v>
      </c>
    </row>
    <row r="422" spans="1:2" x14ac:dyDescent="0.25">
      <c r="A422">
        <v>421</v>
      </c>
      <c r="B422" s="92">
        <v>180.51</v>
      </c>
    </row>
    <row r="423" spans="1:2" x14ac:dyDescent="0.25">
      <c r="A423">
        <v>422</v>
      </c>
      <c r="B423" s="92">
        <v>180.62</v>
      </c>
    </row>
    <row r="424" spans="1:2" x14ac:dyDescent="0.25">
      <c r="A424">
        <v>423</v>
      </c>
      <c r="B424" s="92">
        <v>180.73</v>
      </c>
    </row>
    <row r="425" spans="1:2" x14ac:dyDescent="0.25">
      <c r="A425">
        <v>424</v>
      </c>
      <c r="B425" s="92">
        <v>180.84</v>
      </c>
    </row>
    <row r="426" spans="1:2" x14ac:dyDescent="0.25">
      <c r="A426">
        <v>425</v>
      </c>
      <c r="B426" s="92">
        <v>180.95</v>
      </c>
    </row>
    <row r="427" spans="1:2" x14ac:dyDescent="0.25">
      <c r="A427">
        <v>426</v>
      </c>
      <c r="B427" s="92">
        <v>181.32</v>
      </c>
    </row>
    <row r="428" spans="1:2" x14ac:dyDescent="0.25">
      <c r="A428">
        <v>427</v>
      </c>
      <c r="B428" s="92">
        <v>181.68</v>
      </c>
    </row>
    <row r="429" spans="1:2" x14ac:dyDescent="0.25">
      <c r="A429">
        <v>428</v>
      </c>
      <c r="B429" s="92">
        <v>182.05</v>
      </c>
    </row>
    <row r="430" spans="1:2" x14ac:dyDescent="0.25">
      <c r="A430">
        <v>429</v>
      </c>
      <c r="B430" s="92">
        <v>182.42</v>
      </c>
    </row>
    <row r="431" spans="1:2" x14ac:dyDescent="0.25">
      <c r="A431">
        <v>430</v>
      </c>
      <c r="B431" s="92">
        <v>182.79</v>
      </c>
    </row>
    <row r="432" spans="1:2" x14ac:dyDescent="0.25">
      <c r="A432">
        <v>431</v>
      </c>
      <c r="B432" s="92">
        <v>183.15</v>
      </c>
    </row>
    <row r="433" spans="1:2" x14ac:dyDescent="0.25">
      <c r="A433">
        <v>432</v>
      </c>
      <c r="B433" s="92">
        <v>183.52</v>
      </c>
    </row>
    <row r="434" spans="1:2" x14ac:dyDescent="0.25">
      <c r="A434">
        <v>433</v>
      </c>
      <c r="B434" s="92">
        <v>183.89</v>
      </c>
    </row>
    <row r="435" spans="1:2" x14ac:dyDescent="0.25">
      <c r="A435">
        <v>434</v>
      </c>
      <c r="B435" s="92">
        <v>184.26</v>
      </c>
    </row>
    <row r="436" spans="1:2" x14ac:dyDescent="0.25">
      <c r="A436">
        <v>435</v>
      </c>
      <c r="B436" s="92">
        <v>184.62</v>
      </c>
    </row>
    <row r="437" spans="1:2" x14ac:dyDescent="0.25">
      <c r="A437">
        <v>436</v>
      </c>
      <c r="B437" s="92">
        <v>184.99</v>
      </c>
    </row>
    <row r="438" spans="1:2" x14ac:dyDescent="0.25">
      <c r="A438">
        <v>437</v>
      </c>
      <c r="B438" s="92">
        <v>185.36</v>
      </c>
    </row>
    <row r="439" spans="1:2" x14ac:dyDescent="0.25">
      <c r="A439">
        <v>438</v>
      </c>
      <c r="B439" s="92">
        <v>185.73</v>
      </c>
    </row>
    <row r="440" spans="1:2" x14ac:dyDescent="0.25">
      <c r="A440">
        <v>439</v>
      </c>
      <c r="B440" s="92">
        <v>186.1</v>
      </c>
    </row>
    <row r="441" spans="1:2" x14ac:dyDescent="0.25">
      <c r="A441">
        <v>440</v>
      </c>
      <c r="B441" s="92">
        <v>186.46</v>
      </c>
    </row>
    <row r="442" spans="1:2" x14ac:dyDescent="0.25">
      <c r="A442">
        <v>441</v>
      </c>
      <c r="B442" s="92">
        <v>186.83</v>
      </c>
    </row>
    <row r="443" spans="1:2" x14ac:dyDescent="0.25">
      <c r="A443">
        <v>442</v>
      </c>
      <c r="B443" s="92">
        <v>187.2</v>
      </c>
    </row>
    <row r="444" spans="1:2" x14ac:dyDescent="0.25">
      <c r="A444">
        <v>443</v>
      </c>
      <c r="B444" s="92">
        <v>187.57</v>
      </c>
    </row>
    <row r="445" spans="1:2" x14ac:dyDescent="0.25">
      <c r="A445">
        <v>444</v>
      </c>
      <c r="B445" s="92">
        <v>187.93</v>
      </c>
    </row>
    <row r="446" spans="1:2" x14ac:dyDescent="0.25">
      <c r="A446">
        <v>445</v>
      </c>
      <c r="B446" s="92">
        <v>188.3</v>
      </c>
    </row>
    <row r="447" spans="1:2" x14ac:dyDescent="0.25">
      <c r="A447">
        <v>446</v>
      </c>
      <c r="B447" s="92">
        <v>188.67</v>
      </c>
    </row>
    <row r="448" spans="1:2" x14ac:dyDescent="0.25">
      <c r="A448">
        <v>447</v>
      </c>
      <c r="B448" s="92">
        <v>189.04</v>
      </c>
    </row>
    <row r="449" spans="1:2" x14ac:dyDescent="0.25">
      <c r="A449">
        <v>448</v>
      </c>
      <c r="B449" s="92">
        <v>189.4</v>
      </c>
    </row>
    <row r="450" spans="1:2" x14ac:dyDescent="0.25">
      <c r="A450">
        <v>449</v>
      </c>
      <c r="B450" s="92">
        <v>189.77</v>
      </c>
    </row>
    <row r="451" spans="1:2" x14ac:dyDescent="0.25">
      <c r="A451">
        <v>450</v>
      </c>
      <c r="B451" s="92">
        <v>190.14</v>
      </c>
    </row>
    <row r="452" spans="1:2" x14ac:dyDescent="0.25">
      <c r="A452">
        <v>451</v>
      </c>
      <c r="B452" s="92">
        <v>190.49</v>
      </c>
    </row>
    <row r="453" spans="1:2" x14ac:dyDescent="0.25">
      <c r="A453">
        <v>452</v>
      </c>
      <c r="B453" s="92">
        <v>190.84</v>
      </c>
    </row>
    <row r="454" spans="1:2" x14ac:dyDescent="0.25">
      <c r="A454">
        <v>453</v>
      </c>
      <c r="B454" s="92">
        <v>191.19</v>
      </c>
    </row>
    <row r="455" spans="1:2" x14ac:dyDescent="0.25">
      <c r="A455">
        <v>454</v>
      </c>
      <c r="B455" s="92">
        <v>191.54</v>
      </c>
    </row>
    <row r="456" spans="1:2" x14ac:dyDescent="0.25">
      <c r="A456">
        <v>455</v>
      </c>
      <c r="B456" s="92">
        <v>191.89</v>
      </c>
    </row>
    <row r="457" spans="1:2" x14ac:dyDescent="0.25">
      <c r="A457">
        <v>456</v>
      </c>
      <c r="B457" s="92">
        <v>192.24</v>
      </c>
    </row>
    <row r="458" spans="1:2" x14ac:dyDescent="0.25">
      <c r="A458">
        <v>457</v>
      </c>
      <c r="B458" s="92">
        <v>192.59</v>
      </c>
    </row>
    <row r="459" spans="1:2" x14ac:dyDescent="0.25">
      <c r="A459">
        <v>458</v>
      </c>
      <c r="B459" s="92">
        <v>192.94</v>
      </c>
    </row>
    <row r="460" spans="1:2" x14ac:dyDescent="0.25">
      <c r="A460">
        <v>459</v>
      </c>
      <c r="B460" s="92">
        <v>193.29</v>
      </c>
    </row>
    <row r="461" spans="1:2" x14ac:dyDescent="0.25">
      <c r="A461">
        <v>460</v>
      </c>
      <c r="B461" s="92">
        <v>193.64</v>
      </c>
    </row>
    <row r="462" spans="1:2" x14ac:dyDescent="0.25">
      <c r="A462">
        <v>461</v>
      </c>
      <c r="B462" s="92">
        <v>193.99</v>
      </c>
    </row>
    <row r="463" spans="1:2" x14ac:dyDescent="0.25">
      <c r="A463">
        <v>462</v>
      </c>
      <c r="B463" s="92">
        <v>194.34</v>
      </c>
    </row>
    <row r="464" spans="1:2" x14ac:dyDescent="0.25">
      <c r="A464">
        <v>463</v>
      </c>
      <c r="B464" s="92">
        <v>194.69</v>
      </c>
    </row>
    <row r="465" spans="1:2" x14ac:dyDescent="0.25">
      <c r="A465">
        <v>464</v>
      </c>
      <c r="B465" s="92">
        <v>195.04</v>
      </c>
    </row>
    <row r="466" spans="1:2" x14ac:dyDescent="0.25">
      <c r="A466">
        <v>465</v>
      </c>
      <c r="B466" s="92">
        <v>195.39</v>
      </c>
    </row>
    <row r="467" spans="1:2" x14ac:dyDescent="0.25">
      <c r="A467">
        <v>466</v>
      </c>
      <c r="B467" s="92">
        <v>195.74</v>
      </c>
    </row>
    <row r="468" spans="1:2" x14ac:dyDescent="0.25">
      <c r="A468">
        <v>467</v>
      </c>
      <c r="B468" s="92">
        <v>196.09</v>
      </c>
    </row>
    <row r="469" spans="1:2" x14ac:dyDescent="0.25">
      <c r="A469">
        <v>468</v>
      </c>
      <c r="B469" s="92">
        <v>196.44</v>
      </c>
    </row>
    <row r="470" spans="1:2" x14ac:dyDescent="0.25">
      <c r="A470">
        <v>469</v>
      </c>
      <c r="B470" s="92">
        <v>196.79</v>
      </c>
    </row>
    <row r="471" spans="1:2" x14ac:dyDescent="0.25">
      <c r="A471">
        <v>470</v>
      </c>
      <c r="B471" s="92">
        <v>197.14</v>
      </c>
    </row>
    <row r="472" spans="1:2" x14ac:dyDescent="0.25">
      <c r="A472">
        <v>471</v>
      </c>
      <c r="B472" s="92">
        <v>197.49</v>
      </c>
    </row>
    <row r="473" spans="1:2" x14ac:dyDescent="0.25">
      <c r="A473">
        <v>472</v>
      </c>
      <c r="B473" s="92">
        <v>197.84</v>
      </c>
    </row>
    <row r="474" spans="1:2" x14ac:dyDescent="0.25">
      <c r="A474">
        <v>473</v>
      </c>
      <c r="B474" s="92">
        <v>198.19</v>
      </c>
    </row>
    <row r="475" spans="1:2" x14ac:dyDescent="0.25">
      <c r="A475">
        <v>474</v>
      </c>
      <c r="B475" s="92">
        <v>198.54</v>
      </c>
    </row>
    <row r="476" spans="1:2" x14ac:dyDescent="0.25">
      <c r="A476">
        <v>475</v>
      </c>
      <c r="B476" s="92">
        <v>198.89</v>
      </c>
    </row>
    <row r="477" spans="1:2" x14ac:dyDescent="0.25">
      <c r="A477">
        <v>476</v>
      </c>
      <c r="B477" s="92">
        <v>199.32</v>
      </c>
    </row>
    <row r="478" spans="1:2" x14ac:dyDescent="0.25">
      <c r="A478">
        <v>477</v>
      </c>
      <c r="B478" s="92">
        <v>199.74</v>
      </c>
    </row>
    <row r="479" spans="1:2" x14ac:dyDescent="0.25">
      <c r="A479">
        <v>478</v>
      </c>
      <c r="B479" s="92">
        <v>200.17</v>
      </c>
    </row>
    <row r="480" spans="1:2" x14ac:dyDescent="0.25">
      <c r="A480">
        <v>479</v>
      </c>
      <c r="B480" s="92">
        <v>200.6</v>
      </c>
    </row>
    <row r="481" spans="1:2" x14ac:dyDescent="0.25">
      <c r="A481">
        <v>480</v>
      </c>
      <c r="B481" s="92">
        <v>201.03</v>
      </c>
    </row>
    <row r="482" spans="1:2" x14ac:dyDescent="0.25">
      <c r="A482">
        <v>481</v>
      </c>
      <c r="B482" s="92">
        <v>201.45</v>
      </c>
    </row>
    <row r="483" spans="1:2" x14ac:dyDescent="0.25">
      <c r="A483">
        <v>482</v>
      </c>
      <c r="B483" s="92">
        <v>201.88</v>
      </c>
    </row>
    <row r="484" spans="1:2" x14ac:dyDescent="0.25">
      <c r="A484">
        <v>483</v>
      </c>
      <c r="B484" s="92">
        <v>202.31</v>
      </c>
    </row>
    <row r="485" spans="1:2" x14ac:dyDescent="0.25">
      <c r="A485">
        <v>484</v>
      </c>
      <c r="B485" s="92">
        <v>202.74</v>
      </c>
    </row>
    <row r="486" spans="1:2" x14ac:dyDescent="0.25">
      <c r="A486">
        <v>485</v>
      </c>
      <c r="B486" s="92">
        <v>203.16</v>
      </c>
    </row>
    <row r="487" spans="1:2" x14ac:dyDescent="0.25">
      <c r="A487">
        <v>486</v>
      </c>
      <c r="B487" s="92">
        <v>203.59</v>
      </c>
    </row>
    <row r="488" spans="1:2" x14ac:dyDescent="0.25">
      <c r="A488">
        <v>487</v>
      </c>
      <c r="B488" s="92">
        <v>204.02</v>
      </c>
    </row>
    <row r="489" spans="1:2" x14ac:dyDescent="0.25">
      <c r="A489">
        <v>488</v>
      </c>
      <c r="B489" s="92">
        <v>204.45</v>
      </c>
    </row>
    <row r="490" spans="1:2" x14ac:dyDescent="0.25">
      <c r="A490">
        <v>489</v>
      </c>
      <c r="B490" s="92">
        <v>204.88</v>
      </c>
    </row>
    <row r="491" spans="1:2" x14ac:dyDescent="0.25">
      <c r="A491">
        <v>490</v>
      </c>
      <c r="B491" s="92">
        <v>205.3</v>
      </c>
    </row>
    <row r="492" spans="1:2" x14ac:dyDescent="0.25">
      <c r="A492">
        <v>491</v>
      </c>
      <c r="B492" s="92">
        <v>205.73</v>
      </c>
    </row>
    <row r="493" spans="1:2" x14ac:dyDescent="0.25">
      <c r="A493">
        <v>492</v>
      </c>
      <c r="B493" s="92">
        <v>206.16</v>
      </c>
    </row>
    <row r="494" spans="1:2" x14ac:dyDescent="0.25">
      <c r="A494">
        <v>493</v>
      </c>
      <c r="B494" s="92">
        <v>206.59</v>
      </c>
    </row>
    <row r="495" spans="1:2" x14ac:dyDescent="0.25">
      <c r="A495">
        <v>494</v>
      </c>
      <c r="B495" s="92">
        <v>207.01</v>
      </c>
    </row>
    <row r="496" spans="1:2" x14ac:dyDescent="0.25">
      <c r="A496">
        <v>495</v>
      </c>
      <c r="B496" s="92">
        <v>207.44</v>
      </c>
    </row>
    <row r="497" spans="1:2" x14ac:dyDescent="0.25">
      <c r="A497">
        <v>496</v>
      </c>
      <c r="B497" s="92">
        <v>207.87</v>
      </c>
    </row>
    <row r="498" spans="1:2" x14ac:dyDescent="0.25">
      <c r="A498">
        <v>497</v>
      </c>
      <c r="B498" s="92">
        <v>208.3</v>
      </c>
    </row>
    <row r="499" spans="1:2" x14ac:dyDescent="0.25">
      <c r="A499">
        <v>498</v>
      </c>
      <c r="B499" s="92">
        <v>208.73</v>
      </c>
    </row>
    <row r="500" spans="1:2" x14ac:dyDescent="0.25">
      <c r="A500">
        <v>499</v>
      </c>
      <c r="B500" s="92">
        <v>209.15</v>
      </c>
    </row>
    <row r="501" spans="1:2" x14ac:dyDescent="0.25">
      <c r="A501">
        <v>500</v>
      </c>
      <c r="B501" s="92">
        <v>209.58</v>
      </c>
    </row>
    <row r="502" spans="1:2" x14ac:dyDescent="0.25">
      <c r="A502">
        <v>501</v>
      </c>
      <c r="B502" s="92">
        <v>210.14</v>
      </c>
    </row>
    <row r="503" spans="1:2" x14ac:dyDescent="0.25">
      <c r="A503">
        <v>502</v>
      </c>
      <c r="B503" s="92">
        <v>210.7</v>
      </c>
    </row>
    <row r="504" spans="1:2" x14ac:dyDescent="0.25">
      <c r="A504">
        <v>503</v>
      </c>
      <c r="B504" s="92">
        <v>211.25</v>
      </c>
    </row>
    <row r="505" spans="1:2" x14ac:dyDescent="0.25">
      <c r="A505">
        <v>504</v>
      </c>
      <c r="B505" s="92">
        <v>211.81</v>
      </c>
    </row>
    <row r="506" spans="1:2" x14ac:dyDescent="0.25">
      <c r="A506">
        <v>505</v>
      </c>
      <c r="B506" s="92">
        <v>212.37</v>
      </c>
    </row>
    <row r="507" spans="1:2" x14ac:dyDescent="0.25">
      <c r="A507">
        <v>506</v>
      </c>
      <c r="B507" s="92">
        <v>212.93</v>
      </c>
    </row>
    <row r="508" spans="1:2" x14ac:dyDescent="0.25">
      <c r="A508">
        <v>507</v>
      </c>
      <c r="B508" s="92">
        <v>213.49</v>
      </c>
    </row>
    <row r="509" spans="1:2" x14ac:dyDescent="0.25">
      <c r="A509">
        <v>508</v>
      </c>
      <c r="B509" s="92">
        <v>214.04</v>
      </c>
    </row>
    <row r="510" spans="1:2" x14ac:dyDescent="0.25">
      <c r="A510">
        <v>509</v>
      </c>
      <c r="B510" s="92">
        <v>214.6</v>
      </c>
    </row>
    <row r="511" spans="1:2" x14ac:dyDescent="0.25">
      <c r="A511">
        <v>510</v>
      </c>
      <c r="B511" s="92">
        <v>215.16</v>
      </c>
    </row>
    <row r="512" spans="1:2" x14ac:dyDescent="0.25">
      <c r="A512">
        <v>511</v>
      </c>
      <c r="B512" s="92">
        <v>215.72</v>
      </c>
    </row>
    <row r="513" spans="1:2" x14ac:dyDescent="0.25">
      <c r="A513">
        <v>512</v>
      </c>
      <c r="B513" s="92">
        <v>216.27</v>
      </c>
    </row>
    <row r="514" spans="1:2" x14ac:dyDescent="0.25">
      <c r="A514">
        <v>513</v>
      </c>
      <c r="B514" s="92">
        <v>216.83</v>
      </c>
    </row>
    <row r="515" spans="1:2" x14ac:dyDescent="0.25">
      <c r="A515">
        <v>514</v>
      </c>
      <c r="B515" s="92">
        <v>217.39</v>
      </c>
    </row>
    <row r="516" spans="1:2" x14ac:dyDescent="0.25">
      <c r="A516">
        <v>515</v>
      </c>
      <c r="B516" s="92">
        <v>217.95</v>
      </c>
    </row>
    <row r="517" spans="1:2" x14ac:dyDescent="0.25">
      <c r="A517">
        <v>516</v>
      </c>
      <c r="B517" s="92">
        <v>218.5</v>
      </c>
    </row>
    <row r="518" spans="1:2" x14ac:dyDescent="0.25">
      <c r="A518">
        <v>517</v>
      </c>
      <c r="B518" s="92">
        <v>219.06</v>
      </c>
    </row>
    <row r="519" spans="1:2" x14ac:dyDescent="0.25">
      <c r="A519">
        <v>518</v>
      </c>
      <c r="B519" s="92">
        <v>219.62</v>
      </c>
    </row>
    <row r="520" spans="1:2" x14ac:dyDescent="0.25">
      <c r="A520">
        <v>519</v>
      </c>
      <c r="B520" s="92">
        <v>220.18</v>
      </c>
    </row>
    <row r="521" spans="1:2" x14ac:dyDescent="0.25">
      <c r="A521">
        <v>520</v>
      </c>
      <c r="B521" s="92">
        <v>220.74</v>
      </c>
    </row>
    <row r="522" spans="1:2" x14ac:dyDescent="0.25">
      <c r="A522">
        <v>521</v>
      </c>
      <c r="B522" s="92">
        <v>221.29</v>
      </c>
    </row>
    <row r="523" spans="1:2" x14ac:dyDescent="0.25">
      <c r="A523">
        <v>522</v>
      </c>
      <c r="B523" s="92">
        <v>221.85</v>
      </c>
    </row>
    <row r="524" spans="1:2" x14ac:dyDescent="0.25">
      <c r="A524">
        <v>523</v>
      </c>
      <c r="B524" s="92">
        <v>222.41</v>
      </c>
    </row>
    <row r="525" spans="1:2" x14ac:dyDescent="0.25">
      <c r="A525">
        <v>524</v>
      </c>
      <c r="B525" s="92">
        <v>222.97</v>
      </c>
    </row>
    <row r="526" spans="1:2" x14ac:dyDescent="0.25">
      <c r="A526">
        <v>525</v>
      </c>
      <c r="B526" s="92">
        <v>223.52</v>
      </c>
    </row>
    <row r="527" spans="1:2" x14ac:dyDescent="0.25">
      <c r="A527">
        <v>526</v>
      </c>
      <c r="B527" s="92">
        <v>223.88</v>
      </c>
    </row>
    <row r="528" spans="1:2" x14ac:dyDescent="0.25">
      <c r="A528">
        <v>527</v>
      </c>
      <c r="B528" s="92">
        <v>224.23</v>
      </c>
    </row>
    <row r="529" spans="1:2" x14ac:dyDescent="0.25">
      <c r="A529">
        <v>528</v>
      </c>
      <c r="B529" s="92">
        <v>224.59</v>
      </c>
    </row>
    <row r="530" spans="1:2" x14ac:dyDescent="0.25">
      <c r="A530">
        <v>529</v>
      </c>
      <c r="B530" s="92">
        <v>224.94</v>
      </c>
    </row>
    <row r="531" spans="1:2" x14ac:dyDescent="0.25">
      <c r="A531">
        <v>530</v>
      </c>
      <c r="B531" s="92">
        <v>225.3</v>
      </c>
    </row>
    <row r="532" spans="1:2" x14ac:dyDescent="0.25">
      <c r="A532">
        <v>531</v>
      </c>
      <c r="B532" s="92">
        <v>225.65</v>
      </c>
    </row>
    <row r="533" spans="1:2" x14ac:dyDescent="0.25">
      <c r="A533">
        <v>532</v>
      </c>
      <c r="B533" s="92">
        <v>226.01</v>
      </c>
    </row>
    <row r="534" spans="1:2" x14ac:dyDescent="0.25">
      <c r="A534">
        <v>533</v>
      </c>
      <c r="B534" s="92">
        <v>226.36</v>
      </c>
    </row>
    <row r="535" spans="1:2" x14ac:dyDescent="0.25">
      <c r="A535">
        <v>534</v>
      </c>
      <c r="B535" s="92">
        <v>226.72</v>
      </c>
    </row>
    <row r="536" spans="1:2" x14ac:dyDescent="0.25">
      <c r="A536">
        <v>535</v>
      </c>
      <c r="B536" s="92">
        <v>227.07</v>
      </c>
    </row>
    <row r="537" spans="1:2" x14ac:dyDescent="0.25">
      <c r="A537">
        <v>536</v>
      </c>
      <c r="B537" s="92">
        <v>227.43</v>
      </c>
    </row>
    <row r="538" spans="1:2" x14ac:dyDescent="0.25">
      <c r="A538">
        <v>537</v>
      </c>
      <c r="B538" s="92">
        <v>227.78</v>
      </c>
    </row>
    <row r="539" spans="1:2" x14ac:dyDescent="0.25">
      <c r="A539">
        <v>538</v>
      </c>
      <c r="B539" s="92">
        <v>228.14</v>
      </c>
    </row>
    <row r="540" spans="1:2" x14ac:dyDescent="0.25">
      <c r="A540">
        <v>539</v>
      </c>
      <c r="B540" s="92">
        <v>228.49</v>
      </c>
    </row>
    <row r="541" spans="1:2" x14ac:dyDescent="0.25">
      <c r="A541">
        <v>540</v>
      </c>
      <c r="B541" s="92">
        <v>228.85</v>
      </c>
    </row>
    <row r="542" spans="1:2" x14ac:dyDescent="0.25">
      <c r="A542">
        <v>541</v>
      </c>
      <c r="B542" s="92">
        <v>229.2</v>
      </c>
    </row>
    <row r="543" spans="1:2" x14ac:dyDescent="0.25">
      <c r="A543">
        <v>542</v>
      </c>
      <c r="B543" s="92">
        <v>229.56</v>
      </c>
    </row>
    <row r="544" spans="1:2" x14ac:dyDescent="0.25">
      <c r="A544">
        <v>543</v>
      </c>
      <c r="B544" s="92">
        <v>229.91</v>
      </c>
    </row>
    <row r="545" spans="1:2" x14ac:dyDescent="0.25">
      <c r="A545">
        <v>544</v>
      </c>
      <c r="B545" s="92">
        <v>230.26</v>
      </c>
    </row>
    <row r="546" spans="1:2" x14ac:dyDescent="0.25">
      <c r="A546">
        <v>545</v>
      </c>
      <c r="B546" s="92">
        <v>230.62</v>
      </c>
    </row>
    <row r="547" spans="1:2" x14ac:dyDescent="0.25">
      <c r="A547">
        <v>546</v>
      </c>
      <c r="B547" s="92">
        <v>230.97</v>
      </c>
    </row>
    <row r="548" spans="1:2" x14ac:dyDescent="0.25">
      <c r="A548">
        <v>547</v>
      </c>
      <c r="B548" s="92">
        <v>231.33</v>
      </c>
    </row>
    <row r="549" spans="1:2" x14ac:dyDescent="0.25">
      <c r="A549">
        <v>548</v>
      </c>
      <c r="B549" s="92">
        <v>231.68</v>
      </c>
    </row>
    <row r="550" spans="1:2" x14ac:dyDescent="0.25">
      <c r="A550">
        <v>549</v>
      </c>
      <c r="B550" s="92">
        <v>232.04</v>
      </c>
    </row>
    <row r="551" spans="1:2" x14ac:dyDescent="0.25">
      <c r="A551">
        <v>550</v>
      </c>
      <c r="B551" s="92">
        <v>232.39</v>
      </c>
    </row>
    <row r="552" spans="1:2" x14ac:dyDescent="0.25">
      <c r="A552">
        <v>551</v>
      </c>
      <c r="B552" s="92">
        <v>232.73</v>
      </c>
    </row>
    <row r="553" spans="1:2" x14ac:dyDescent="0.25">
      <c r="A553">
        <v>552</v>
      </c>
      <c r="B553" s="92">
        <v>233.06</v>
      </c>
    </row>
    <row r="554" spans="1:2" x14ac:dyDescent="0.25">
      <c r="A554">
        <v>553</v>
      </c>
      <c r="B554" s="92">
        <v>233.4</v>
      </c>
    </row>
    <row r="555" spans="1:2" x14ac:dyDescent="0.25">
      <c r="A555">
        <v>554</v>
      </c>
      <c r="B555" s="92">
        <v>233.73</v>
      </c>
    </row>
    <row r="556" spans="1:2" x14ac:dyDescent="0.25">
      <c r="A556">
        <v>555</v>
      </c>
      <c r="B556" s="92">
        <v>234.07</v>
      </c>
    </row>
    <row r="557" spans="1:2" x14ac:dyDescent="0.25">
      <c r="A557">
        <v>556</v>
      </c>
      <c r="B557" s="92">
        <v>234.4</v>
      </c>
    </row>
    <row r="558" spans="1:2" x14ac:dyDescent="0.25">
      <c r="A558">
        <v>557</v>
      </c>
      <c r="B558" s="92">
        <v>234.74</v>
      </c>
    </row>
    <row r="559" spans="1:2" x14ac:dyDescent="0.25">
      <c r="A559">
        <v>558</v>
      </c>
      <c r="B559" s="92">
        <v>235.07</v>
      </c>
    </row>
    <row r="560" spans="1:2" x14ac:dyDescent="0.25">
      <c r="A560">
        <v>559</v>
      </c>
      <c r="B560" s="92">
        <v>235.41</v>
      </c>
    </row>
    <row r="561" spans="1:2" x14ac:dyDescent="0.25">
      <c r="A561">
        <v>560</v>
      </c>
      <c r="B561" s="92">
        <v>235.74</v>
      </c>
    </row>
    <row r="562" spans="1:2" x14ac:dyDescent="0.25">
      <c r="A562">
        <v>561</v>
      </c>
      <c r="B562" s="92">
        <v>236.07</v>
      </c>
    </row>
    <row r="563" spans="1:2" x14ac:dyDescent="0.25">
      <c r="A563">
        <v>562</v>
      </c>
      <c r="B563" s="92">
        <v>236.41</v>
      </c>
    </row>
    <row r="564" spans="1:2" x14ac:dyDescent="0.25">
      <c r="A564">
        <v>563</v>
      </c>
      <c r="B564" s="92">
        <v>236.74</v>
      </c>
    </row>
    <row r="565" spans="1:2" x14ac:dyDescent="0.25">
      <c r="A565">
        <v>564</v>
      </c>
      <c r="B565" s="92">
        <v>237.08</v>
      </c>
    </row>
    <row r="566" spans="1:2" x14ac:dyDescent="0.25">
      <c r="A566">
        <v>565</v>
      </c>
      <c r="B566" s="92">
        <v>237.41</v>
      </c>
    </row>
    <row r="567" spans="1:2" x14ac:dyDescent="0.25">
      <c r="A567">
        <v>566</v>
      </c>
      <c r="B567" s="92">
        <v>237.75</v>
      </c>
    </row>
    <row r="568" spans="1:2" x14ac:dyDescent="0.25">
      <c r="A568">
        <v>567</v>
      </c>
      <c r="B568" s="92">
        <v>238.08</v>
      </c>
    </row>
    <row r="569" spans="1:2" x14ac:dyDescent="0.25">
      <c r="A569">
        <v>568</v>
      </c>
      <c r="B569" s="92">
        <v>238.42</v>
      </c>
    </row>
    <row r="570" spans="1:2" x14ac:dyDescent="0.25">
      <c r="A570">
        <v>569</v>
      </c>
      <c r="B570" s="92">
        <v>238.75</v>
      </c>
    </row>
    <row r="571" spans="1:2" x14ac:dyDescent="0.25">
      <c r="A571">
        <v>570</v>
      </c>
      <c r="B571" s="92">
        <v>239.09</v>
      </c>
    </row>
    <row r="572" spans="1:2" x14ac:dyDescent="0.25">
      <c r="A572">
        <v>571</v>
      </c>
      <c r="B572" s="92">
        <v>239.42</v>
      </c>
    </row>
    <row r="573" spans="1:2" x14ac:dyDescent="0.25">
      <c r="A573">
        <v>572</v>
      </c>
      <c r="B573" s="92">
        <v>239.75</v>
      </c>
    </row>
    <row r="574" spans="1:2" x14ac:dyDescent="0.25">
      <c r="A574">
        <v>573</v>
      </c>
      <c r="B574" s="92">
        <v>240.09</v>
      </c>
    </row>
    <row r="575" spans="1:2" x14ac:dyDescent="0.25">
      <c r="A575">
        <v>574</v>
      </c>
      <c r="B575" s="92">
        <v>240.42</v>
      </c>
    </row>
    <row r="576" spans="1:2" x14ac:dyDescent="0.25">
      <c r="A576">
        <v>575</v>
      </c>
      <c r="B576" s="92">
        <v>240.76</v>
      </c>
    </row>
    <row r="577" spans="1:2" x14ac:dyDescent="0.25">
      <c r="A577">
        <v>576</v>
      </c>
      <c r="B577" s="92">
        <v>241.19</v>
      </c>
    </row>
    <row r="578" spans="1:2" x14ac:dyDescent="0.25">
      <c r="A578">
        <v>577</v>
      </c>
      <c r="B578" s="92">
        <v>241.62</v>
      </c>
    </row>
    <row r="579" spans="1:2" x14ac:dyDescent="0.25">
      <c r="A579">
        <v>578</v>
      </c>
      <c r="B579" s="92">
        <v>242.05</v>
      </c>
    </row>
    <row r="580" spans="1:2" x14ac:dyDescent="0.25">
      <c r="A580">
        <v>579</v>
      </c>
      <c r="B580" s="92">
        <v>242.48</v>
      </c>
    </row>
    <row r="581" spans="1:2" x14ac:dyDescent="0.25">
      <c r="A581">
        <v>580</v>
      </c>
      <c r="B581" s="92">
        <v>242.91</v>
      </c>
    </row>
    <row r="582" spans="1:2" x14ac:dyDescent="0.25">
      <c r="A582">
        <v>581</v>
      </c>
      <c r="B582" s="92">
        <v>243.34</v>
      </c>
    </row>
    <row r="583" spans="1:2" x14ac:dyDescent="0.25">
      <c r="A583">
        <v>582</v>
      </c>
      <c r="B583" s="92">
        <v>243.77</v>
      </c>
    </row>
    <row r="584" spans="1:2" x14ac:dyDescent="0.25">
      <c r="A584">
        <v>583</v>
      </c>
      <c r="B584" s="92">
        <v>244.2</v>
      </c>
    </row>
    <row r="585" spans="1:2" x14ac:dyDescent="0.25">
      <c r="A585">
        <v>584</v>
      </c>
      <c r="B585" s="92">
        <v>244.62</v>
      </c>
    </row>
    <row r="586" spans="1:2" x14ac:dyDescent="0.25">
      <c r="A586">
        <v>585</v>
      </c>
      <c r="B586" s="92">
        <v>245.05</v>
      </c>
    </row>
    <row r="587" spans="1:2" x14ac:dyDescent="0.25">
      <c r="A587">
        <v>586</v>
      </c>
      <c r="B587" s="92">
        <v>245.48</v>
      </c>
    </row>
    <row r="588" spans="1:2" x14ac:dyDescent="0.25">
      <c r="A588">
        <v>587</v>
      </c>
      <c r="B588" s="92">
        <v>245.91</v>
      </c>
    </row>
    <row r="589" spans="1:2" x14ac:dyDescent="0.25">
      <c r="A589">
        <v>588</v>
      </c>
      <c r="B589" s="92">
        <v>246.34</v>
      </c>
    </row>
    <row r="590" spans="1:2" x14ac:dyDescent="0.25">
      <c r="A590">
        <v>589</v>
      </c>
      <c r="B590" s="92">
        <v>246.77440000000001</v>
      </c>
    </row>
    <row r="591" spans="1:2" x14ac:dyDescent="0.25">
      <c r="A591">
        <v>590</v>
      </c>
      <c r="B591" s="92">
        <v>247.2</v>
      </c>
    </row>
    <row r="592" spans="1:2" x14ac:dyDescent="0.25">
      <c r="A592">
        <v>591</v>
      </c>
      <c r="B592" s="92">
        <v>247.63</v>
      </c>
    </row>
    <row r="593" spans="1:2" x14ac:dyDescent="0.25">
      <c r="A593">
        <v>592</v>
      </c>
      <c r="B593" s="92">
        <v>248.06</v>
      </c>
    </row>
    <row r="594" spans="1:2" x14ac:dyDescent="0.25">
      <c r="A594">
        <v>593</v>
      </c>
      <c r="B594" s="92">
        <v>248.49</v>
      </c>
    </row>
    <row r="595" spans="1:2" x14ac:dyDescent="0.25">
      <c r="A595">
        <v>594</v>
      </c>
      <c r="B595" s="92">
        <v>248.92</v>
      </c>
    </row>
    <row r="596" spans="1:2" x14ac:dyDescent="0.25">
      <c r="A596">
        <v>595</v>
      </c>
      <c r="B596" s="92">
        <v>249.35</v>
      </c>
    </row>
    <row r="597" spans="1:2" x14ac:dyDescent="0.25">
      <c r="A597">
        <v>596</v>
      </c>
      <c r="B597" s="92">
        <v>249.78</v>
      </c>
    </row>
    <row r="598" spans="1:2" x14ac:dyDescent="0.25">
      <c r="A598">
        <v>597</v>
      </c>
      <c r="B598" s="92">
        <v>250.21</v>
      </c>
    </row>
    <row r="599" spans="1:2" x14ac:dyDescent="0.25">
      <c r="A599">
        <v>598</v>
      </c>
      <c r="B599" s="92">
        <v>250.64</v>
      </c>
    </row>
    <row r="600" spans="1:2" x14ac:dyDescent="0.25">
      <c r="A600">
        <v>599</v>
      </c>
      <c r="B600" s="92">
        <v>251.07</v>
      </c>
    </row>
    <row r="601" spans="1:2" x14ac:dyDescent="0.25">
      <c r="A601">
        <v>600</v>
      </c>
      <c r="B601" s="92">
        <v>251.5</v>
      </c>
    </row>
    <row r="602" spans="1:2" x14ac:dyDescent="0.25">
      <c r="A602">
        <v>601</v>
      </c>
      <c r="B602" s="92">
        <v>251.67</v>
      </c>
    </row>
    <row r="603" spans="1:2" x14ac:dyDescent="0.25">
      <c r="A603">
        <v>602</v>
      </c>
      <c r="B603" s="92">
        <v>251.85</v>
      </c>
    </row>
    <row r="604" spans="1:2" x14ac:dyDescent="0.25">
      <c r="A604">
        <v>603</v>
      </c>
      <c r="B604" s="92">
        <v>252.02</v>
      </c>
    </row>
    <row r="605" spans="1:2" x14ac:dyDescent="0.25">
      <c r="A605">
        <v>604</v>
      </c>
      <c r="B605" s="92">
        <v>252.2</v>
      </c>
    </row>
    <row r="606" spans="1:2" x14ac:dyDescent="0.25">
      <c r="A606">
        <v>605</v>
      </c>
      <c r="B606" s="92">
        <v>252.37</v>
      </c>
    </row>
    <row r="607" spans="1:2" x14ac:dyDescent="0.25">
      <c r="A607">
        <v>606</v>
      </c>
      <c r="B607" s="92">
        <v>252.55</v>
      </c>
    </row>
    <row r="608" spans="1:2" x14ac:dyDescent="0.25">
      <c r="A608">
        <v>607</v>
      </c>
      <c r="B608" s="92">
        <v>252.72</v>
      </c>
    </row>
    <row r="609" spans="1:2" x14ac:dyDescent="0.25">
      <c r="A609">
        <v>608</v>
      </c>
      <c r="B609" s="92">
        <v>252.9</v>
      </c>
    </row>
    <row r="610" spans="1:2" x14ac:dyDescent="0.25">
      <c r="A610">
        <v>609</v>
      </c>
      <c r="B610" s="92">
        <v>253.07</v>
      </c>
    </row>
    <row r="611" spans="1:2" x14ac:dyDescent="0.25">
      <c r="A611">
        <v>610</v>
      </c>
      <c r="B611" s="92">
        <v>253.24</v>
      </c>
    </row>
    <row r="612" spans="1:2" x14ac:dyDescent="0.25">
      <c r="A612">
        <v>611</v>
      </c>
      <c r="B612" s="92">
        <v>253.42</v>
      </c>
    </row>
    <row r="613" spans="1:2" x14ac:dyDescent="0.25">
      <c r="A613">
        <v>612</v>
      </c>
      <c r="B613" s="92">
        <v>253.59</v>
      </c>
    </row>
    <row r="614" spans="1:2" x14ac:dyDescent="0.25">
      <c r="A614">
        <v>613</v>
      </c>
      <c r="B614" s="92">
        <v>253.77</v>
      </c>
    </row>
    <row r="615" spans="1:2" x14ac:dyDescent="0.25">
      <c r="A615">
        <v>614</v>
      </c>
      <c r="B615" s="92">
        <v>253.94</v>
      </c>
    </row>
    <row r="616" spans="1:2" x14ac:dyDescent="0.25">
      <c r="A616">
        <v>615</v>
      </c>
      <c r="B616" s="92">
        <v>254.12</v>
      </c>
    </row>
    <row r="617" spans="1:2" x14ac:dyDescent="0.25">
      <c r="A617">
        <v>616</v>
      </c>
      <c r="B617" s="92">
        <v>254.29</v>
      </c>
    </row>
    <row r="618" spans="1:2" x14ac:dyDescent="0.25">
      <c r="A618">
        <v>617</v>
      </c>
      <c r="B618" s="92">
        <v>254.47</v>
      </c>
    </row>
    <row r="619" spans="1:2" x14ac:dyDescent="0.25">
      <c r="A619">
        <v>618</v>
      </c>
      <c r="B619" s="92">
        <v>254.64</v>
      </c>
    </row>
    <row r="620" spans="1:2" x14ac:dyDescent="0.25">
      <c r="A620">
        <v>619</v>
      </c>
      <c r="B620" s="92">
        <v>254.82</v>
      </c>
    </row>
    <row r="621" spans="1:2" x14ac:dyDescent="0.25">
      <c r="A621">
        <v>620</v>
      </c>
      <c r="B621" s="92">
        <v>254.99</v>
      </c>
    </row>
    <row r="622" spans="1:2" x14ac:dyDescent="0.25">
      <c r="A622">
        <v>621</v>
      </c>
      <c r="B622" s="92">
        <v>255.17</v>
      </c>
    </row>
    <row r="623" spans="1:2" x14ac:dyDescent="0.25">
      <c r="A623">
        <v>622</v>
      </c>
      <c r="B623" s="92">
        <v>255.34</v>
      </c>
    </row>
    <row r="624" spans="1:2" x14ac:dyDescent="0.25">
      <c r="A624">
        <v>623</v>
      </c>
      <c r="B624" s="92">
        <v>255.52</v>
      </c>
    </row>
    <row r="625" spans="1:2" x14ac:dyDescent="0.25">
      <c r="A625">
        <v>624</v>
      </c>
      <c r="B625" s="92">
        <v>255.69</v>
      </c>
    </row>
    <row r="626" spans="1:2" x14ac:dyDescent="0.25">
      <c r="A626">
        <v>625</v>
      </c>
      <c r="B626" s="92">
        <v>255.87</v>
      </c>
    </row>
    <row r="627" spans="1:2" x14ac:dyDescent="0.25">
      <c r="A627">
        <v>626</v>
      </c>
      <c r="B627" s="92">
        <v>256.37</v>
      </c>
    </row>
    <row r="628" spans="1:2" x14ac:dyDescent="0.25">
      <c r="A628">
        <v>627</v>
      </c>
      <c r="B628" s="92">
        <v>256.88</v>
      </c>
    </row>
    <row r="629" spans="1:2" x14ac:dyDescent="0.25">
      <c r="A629">
        <v>628</v>
      </c>
      <c r="B629" s="92">
        <v>257.38</v>
      </c>
    </row>
    <row r="630" spans="1:2" x14ac:dyDescent="0.25">
      <c r="A630">
        <v>629</v>
      </c>
      <c r="B630" s="92">
        <v>257.89</v>
      </c>
    </row>
    <row r="631" spans="1:2" x14ac:dyDescent="0.25">
      <c r="A631">
        <v>630</v>
      </c>
      <c r="B631" s="92">
        <v>258.39999999999998</v>
      </c>
    </row>
    <row r="632" spans="1:2" x14ac:dyDescent="0.25">
      <c r="A632">
        <v>631</v>
      </c>
      <c r="B632" s="92">
        <v>258.89999999999998</v>
      </c>
    </row>
    <row r="633" spans="1:2" x14ac:dyDescent="0.25">
      <c r="A633">
        <v>632</v>
      </c>
      <c r="B633" s="92">
        <v>259.41000000000003</v>
      </c>
    </row>
    <row r="634" spans="1:2" x14ac:dyDescent="0.25">
      <c r="A634">
        <v>633</v>
      </c>
      <c r="B634" s="92">
        <v>259.91000000000003</v>
      </c>
    </row>
    <row r="635" spans="1:2" x14ac:dyDescent="0.25">
      <c r="A635">
        <v>634</v>
      </c>
      <c r="B635" s="92">
        <v>260.42</v>
      </c>
    </row>
    <row r="636" spans="1:2" x14ac:dyDescent="0.25">
      <c r="A636">
        <v>635</v>
      </c>
      <c r="B636" s="92">
        <v>260.93</v>
      </c>
    </row>
    <row r="637" spans="1:2" x14ac:dyDescent="0.25">
      <c r="A637">
        <v>636</v>
      </c>
      <c r="B637" s="92">
        <v>261.43</v>
      </c>
    </row>
    <row r="638" spans="1:2" x14ac:dyDescent="0.25">
      <c r="A638">
        <v>637</v>
      </c>
      <c r="B638" s="92">
        <v>261.94</v>
      </c>
    </row>
    <row r="639" spans="1:2" x14ac:dyDescent="0.25">
      <c r="A639">
        <v>638</v>
      </c>
      <c r="B639" s="92">
        <v>262.44</v>
      </c>
    </row>
    <row r="640" spans="1:2" x14ac:dyDescent="0.25">
      <c r="A640">
        <v>639</v>
      </c>
      <c r="B640" s="92">
        <v>262.95</v>
      </c>
    </row>
    <row r="641" spans="1:2" x14ac:dyDescent="0.25">
      <c r="A641">
        <v>640</v>
      </c>
      <c r="B641" s="92">
        <v>263.45999999999998</v>
      </c>
    </row>
    <row r="642" spans="1:2" x14ac:dyDescent="0.25">
      <c r="A642">
        <v>641</v>
      </c>
      <c r="B642" s="92">
        <v>263.95999999999998</v>
      </c>
    </row>
    <row r="643" spans="1:2" x14ac:dyDescent="0.25">
      <c r="A643">
        <v>642</v>
      </c>
      <c r="B643" s="92">
        <v>264.47000000000003</v>
      </c>
    </row>
    <row r="644" spans="1:2" x14ac:dyDescent="0.25">
      <c r="A644">
        <v>643</v>
      </c>
      <c r="B644" s="92">
        <v>264.97000000000003</v>
      </c>
    </row>
    <row r="645" spans="1:2" x14ac:dyDescent="0.25">
      <c r="A645">
        <v>644</v>
      </c>
      <c r="B645" s="92">
        <v>265.48</v>
      </c>
    </row>
    <row r="646" spans="1:2" x14ac:dyDescent="0.25">
      <c r="A646">
        <v>645</v>
      </c>
      <c r="B646" s="92">
        <v>265.99</v>
      </c>
    </row>
    <row r="647" spans="1:2" x14ac:dyDescent="0.25">
      <c r="A647">
        <v>646</v>
      </c>
      <c r="B647" s="92">
        <v>266.49</v>
      </c>
    </row>
    <row r="648" spans="1:2" x14ac:dyDescent="0.25">
      <c r="A648">
        <v>647</v>
      </c>
      <c r="B648" s="92">
        <v>267</v>
      </c>
    </row>
    <row r="649" spans="1:2" x14ac:dyDescent="0.25">
      <c r="A649">
        <v>648</v>
      </c>
      <c r="B649" s="92">
        <v>267.51</v>
      </c>
    </row>
    <row r="650" spans="1:2" x14ac:dyDescent="0.25">
      <c r="A650">
        <v>649</v>
      </c>
      <c r="B650" s="92">
        <v>268.01</v>
      </c>
    </row>
    <row r="651" spans="1:2" x14ac:dyDescent="0.25">
      <c r="A651">
        <v>650</v>
      </c>
      <c r="B651" s="92">
        <v>268.52</v>
      </c>
    </row>
    <row r="652" spans="1:2" x14ac:dyDescent="0.25">
      <c r="A652">
        <v>651</v>
      </c>
      <c r="B652" s="92">
        <v>268.93</v>
      </c>
    </row>
    <row r="653" spans="1:2" x14ac:dyDescent="0.25">
      <c r="A653">
        <v>652</v>
      </c>
      <c r="B653" s="92">
        <v>269.33999999999997</v>
      </c>
    </row>
    <row r="654" spans="1:2" x14ac:dyDescent="0.25">
      <c r="A654">
        <v>653</v>
      </c>
      <c r="B654" s="92">
        <v>269.76</v>
      </c>
    </row>
    <row r="655" spans="1:2" x14ac:dyDescent="0.25">
      <c r="A655">
        <v>654</v>
      </c>
      <c r="B655" s="92">
        <v>270.17</v>
      </c>
    </row>
    <row r="656" spans="1:2" x14ac:dyDescent="0.25">
      <c r="A656">
        <v>655</v>
      </c>
      <c r="B656" s="92">
        <v>270.58</v>
      </c>
    </row>
    <row r="657" spans="1:2" x14ac:dyDescent="0.25">
      <c r="A657">
        <v>656</v>
      </c>
      <c r="B657" s="92">
        <v>271</v>
      </c>
    </row>
    <row r="658" spans="1:2" x14ac:dyDescent="0.25">
      <c r="A658">
        <v>657</v>
      </c>
      <c r="B658" s="92">
        <v>271.41000000000003</v>
      </c>
    </row>
    <row r="659" spans="1:2" x14ac:dyDescent="0.25">
      <c r="A659">
        <v>658</v>
      </c>
      <c r="B659" s="92">
        <v>271.82</v>
      </c>
    </row>
    <row r="660" spans="1:2" x14ac:dyDescent="0.25">
      <c r="A660">
        <v>659</v>
      </c>
      <c r="B660" s="92">
        <v>272.24</v>
      </c>
    </row>
    <row r="661" spans="1:2" x14ac:dyDescent="0.25">
      <c r="A661">
        <v>660</v>
      </c>
      <c r="B661" s="92">
        <v>272.64999999999998</v>
      </c>
    </row>
    <row r="662" spans="1:2" x14ac:dyDescent="0.25">
      <c r="A662">
        <v>661</v>
      </c>
      <c r="B662" s="92">
        <v>273.06</v>
      </c>
    </row>
    <row r="663" spans="1:2" x14ac:dyDescent="0.25">
      <c r="A663">
        <v>662</v>
      </c>
      <c r="B663" s="92">
        <v>273.47000000000003</v>
      </c>
    </row>
    <row r="664" spans="1:2" x14ac:dyDescent="0.25">
      <c r="A664">
        <v>663</v>
      </c>
      <c r="B664" s="92">
        <v>273.89</v>
      </c>
    </row>
    <row r="665" spans="1:2" x14ac:dyDescent="0.25">
      <c r="A665">
        <v>664</v>
      </c>
      <c r="B665" s="92">
        <v>274.3</v>
      </c>
    </row>
    <row r="666" spans="1:2" x14ac:dyDescent="0.25">
      <c r="A666">
        <v>665</v>
      </c>
      <c r="B666" s="92">
        <v>274.70999999999998</v>
      </c>
    </row>
    <row r="667" spans="1:2" x14ac:dyDescent="0.25">
      <c r="A667">
        <v>666</v>
      </c>
      <c r="B667" s="92">
        <v>275.13</v>
      </c>
    </row>
    <row r="668" spans="1:2" x14ac:dyDescent="0.25">
      <c r="A668">
        <v>667</v>
      </c>
      <c r="B668" s="92">
        <v>275.54000000000002</v>
      </c>
    </row>
    <row r="669" spans="1:2" x14ac:dyDescent="0.25">
      <c r="A669">
        <v>668</v>
      </c>
      <c r="B669" s="92">
        <v>275.95</v>
      </c>
    </row>
    <row r="670" spans="1:2" x14ac:dyDescent="0.25">
      <c r="A670">
        <v>669</v>
      </c>
      <c r="B670" s="92">
        <v>276.37</v>
      </c>
    </row>
    <row r="671" spans="1:2" x14ac:dyDescent="0.25">
      <c r="A671">
        <v>670</v>
      </c>
      <c r="B671" s="92">
        <v>276.77999999999997</v>
      </c>
    </row>
    <row r="672" spans="1:2" x14ac:dyDescent="0.25">
      <c r="A672">
        <v>671</v>
      </c>
      <c r="B672" s="92">
        <v>277.19</v>
      </c>
    </row>
    <row r="673" spans="1:2" x14ac:dyDescent="0.25">
      <c r="A673">
        <v>672</v>
      </c>
      <c r="B673" s="92">
        <v>277.61</v>
      </c>
    </row>
    <row r="674" spans="1:2" x14ac:dyDescent="0.25">
      <c r="A674">
        <v>673</v>
      </c>
      <c r="B674" s="92">
        <v>278.02</v>
      </c>
    </row>
    <row r="675" spans="1:2" x14ac:dyDescent="0.25">
      <c r="A675">
        <v>674</v>
      </c>
      <c r="B675" s="92">
        <v>278.43</v>
      </c>
    </row>
    <row r="676" spans="1:2" x14ac:dyDescent="0.25">
      <c r="A676">
        <v>675</v>
      </c>
      <c r="B676" s="92">
        <v>278.83999999999997</v>
      </c>
    </row>
    <row r="677" spans="1:2" x14ac:dyDescent="0.25">
      <c r="A677">
        <v>676</v>
      </c>
      <c r="B677" s="92">
        <v>279.17</v>
      </c>
    </row>
    <row r="678" spans="1:2" x14ac:dyDescent="0.25">
      <c r="A678">
        <v>677</v>
      </c>
      <c r="B678" s="92">
        <v>279.5</v>
      </c>
    </row>
    <row r="679" spans="1:2" x14ac:dyDescent="0.25">
      <c r="A679">
        <v>678</v>
      </c>
      <c r="B679" s="92">
        <v>279.83</v>
      </c>
    </row>
    <row r="680" spans="1:2" x14ac:dyDescent="0.25">
      <c r="A680">
        <v>679</v>
      </c>
      <c r="B680" s="92">
        <v>280.14999999999998</v>
      </c>
    </row>
    <row r="681" spans="1:2" x14ac:dyDescent="0.25">
      <c r="A681">
        <v>680</v>
      </c>
      <c r="B681" s="92">
        <v>280.48</v>
      </c>
    </row>
    <row r="682" spans="1:2" x14ac:dyDescent="0.25">
      <c r="A682">
        <v>681</v>
      </c>
      <c r="B682" s="92">
        <v>280.81</v>
      </c>
    </row>
    <row r="683" spans="1:2" x14ac:dyDescent="0.25">
      <c r="A683">
        <v>682</v>
      </c>
      <c r="B683" s="92">
        <v>281.14</v>
      </c>
    </row>
    <row r="684" spans="1:2" x14ac:dyDescent="0.25">
      <c r="A684">
        <v>683</v>
      </c>
      <c r="B684" s="92">
        <v>281.45999999999998</v>
      </c>
    </row>
    <row r="685" spans="1:2" x14ac:dyDescent="0.25">
      <c r="A685">
        <v>684</v>
      </c>
      <c r="B685" s="92">
        <v>281.79000000000002</v>
      </c>
    </row>
    <row r="686" spans="1:2" x14ac:dyDescent="0.25">
      <c r="A686">
        <v>685</v>
      </c>
      <c r="B686" s="92">
        <v>282.12</v>
      </c>
    </row>
    <row r="687" spans="1:2" x14ac:dyDescent="0.25">
      <c r="A687">
        <v>686</v>
      </c>
      <c r="B687" s="92">
        <v>282.45</v>
      </c>
    </row>
    <row r="688" spans="1:2" x14ac:dyDescent="0.25">
      <c r="A688">
        <v>687</v>
      </c>
      <c r="B688" s="92">
        <v>282.77</v>
      </c>
    </row>
    <row r="689" spans="1:2" x14ac:dyDescent="0.25">
      <c r="A689">
        <v>688</v>
      </c>
      <c r="B689" s="92">
        <v>283.10000000000002</v>
      </c>
    </row>
    <row r="690" spans="1:2" x14ac:dyDescent="0.25">
      <c r="A690">
        <v>689</v>
      </c>
      <c r="B690" s="92">
        <v>283.43</v>
      </c>
    </row>
    <row r="691" spans="1:2" x14ac:dyDescent="0.25">
      <c r="A691">
        <v>690</v>
      </c>
      <c r="B691" s="92">
        <v>283.76</v>
      </c>
    </row>
    <row r="692" spans="1:2" x14ac:dyDescent="0.25">
      <c r="A692">
        <v>691</v>
      </c>
      <c r="B692" s="92">
        <v>284.08</v>
      </c>
    </row>
    <row r="693" spans="1:2" x14ac:dyDescent="0.25">
      <c r="A693">
        <v>692</v>
      </c>
      <c r="B693" s="92">
        <v>284.41000000000003</v>
      </c>
    </row>
    <row r="694" spans="1:2" x14ac:dyDescent="0.25">
      <c r="A694">
        <v>693</v>
      </c>
      <c r="B694" s="92">
        <v>284.74</v>
      </c>
    </row>
    <row r="695" spans="1:2" x14ac:dyDescent="0.25">
      <c r="A695">
        <v>694</v>
      </c>
      <c r="B695" s="92">
        <v>285.07</v>
      </c>
    </row>
    <row r="696" spans="1:2" x14ac:dyDescent="0.25">
      <c r="A696">
        <v>695</v>
      </c>
      <c r="B696" s="92">
        <v>285.39</v>
      </c>
    </row>
    <row r="697" spans="1:2" x14ac:dyDescent="0.25">
      <c r="A697">
        <v>696</v>
      </c>
      <c r="B697" s="92">
        <v>285.72000000000003</v>
      </c>
    </row>
    <row r="698" spans="1:2" x14ac:dyDescent="0.25">
      <c r="A698">
        <v>697</v>
      </c>
      <c r="B698" s="92">
        <v>286.05</v>
      </c>
    </row>
    <row r="699" spans="1:2" x14ac:dyDescent="0.25">
      <c r="A699">
        <v>698</v>
      </c>
      <c r="B699" s="92">
        <v>286.38</v>
      </c>
    </row>
    <row r="700" spans="1:2" x14ac:dyDescent="0.25">
      <c r="A700">
        <v>699</v>
      </c>
      <c r="B700" s="92">
        <v>286.7</v>
      </c>
    </row>
    <row r="701" spans="1:2" x14ac:dyDescent="0.25">
      <c r="A701">
        <v>700</v>
      </c>
      <c r="B701" s="92">
        <v>287.02999999999997</v>
      </c>
    </row>
    <row r="702" spans="1:2" x14ac:dyDescent="0.25">
      <c r="A702">
        <v>701</v>
      </c>
      <c r="B702" s="92">
        <v>287.44</v>
      </c>
    </row>
    <row r="703" spans="1:2" x14ac:dyDescent="0.25">
      <c r="A703">
        <v>702</v>
      </c>
      <c r="B703" s="92">
        <v>287.85000000000002</v>
      </c>
    </row>
    <row r="704" spans="1:2" x14ac:dyDescent="0.25">
      <c r="A704">
        <v>703</v>
      </c>
      <c r="B704" s="92">
        <v>288.25</v>
      </c>
    </row>
    <row r="705" spans="1:2" x14ac:dyDescent="0.25">
      <c r="A705">
        <v>704</v>
      </c>
      <c r="B705" s="92">
        <v>288.66000000000003</v>
      </c>
    </row>
    <row r="706" spans="1:2" x14ac:dyDescent="0.25">
      <c r="A706">
        <v>705</v>
      </c>
      <c r="B706" s="92">
        <v>289.07</v>
      </c>
    </row>
    <row r="707" spans="1:2" x14ac:dyDescent="0.25">
      <c r="A707">
        <v>706</v>
      </c>
      <c r="B707" s="92">
        <v>289.48</v>
      </c>
    </row>
    <row r="708" spans="1:2" x14ac:dyDescent="0.25">
      <c r="A708">
        <v>707</v>
      </c>
      <c r="B708" s="92">
        <v>289.88</v>
      </c>
    </row>
    <row r="709" spans="1:2" x14ac:dyDescent="0.25">
      <c r="A709">
        <v>708</v>
      </c>
      <c r="B709" s="92">
        <v>290.29000000000002</v>
      </c>
    </row>
    <row r="710" spans="1:2" x14ac:dyDescent="0.25">
      <c r="A710">
        <v>709</v>
      </c>
      <c r="B710" s="92">
        <v>290.7</v>
      </c>
    </row>
    <row r="711" spans="1:2" x14ac:dyDescent="0.25">
      <c r="A711">
        <v>710</v>
      </c>
      <c r="B711" s="92">
        <v>291.11</v>
      </c>
    </row>
    <row r="712" spans="1:2" x14ac:dyDescent="0.25">
      <c r="A712">
        <v>711</v>
      </c>
      <c r="B712" s="92">
        <v>291.51</v>
      </c>
    </row>
    <row r="713" spans="1:2" x14ac:dyDescent="0.25">
      <c r="A713">
        <v>712</v>
      </c>
      <c r="B713" s="92">
        <v>291.92</v>
      </c>
    </row>
    <row r="714" spans="1:2" x14ac:dyDescent="0.25">
      <c r="A714">
        <v>713</v>
      </c>
      <c r="B714" s="92">
        <v>292.33</v>
      </c>
    </row>
    <row r="715" spans="1:2" x14ac:dyDescent="0.25">
      <c r="A715">
        <v>714</v>
      </c>
      <c r="B715" s="92">
        <v>292.74</v>
      </c>
    </row>
    <row r="716" spans="1:2" x14ac:dyDescent="0.25">
      <c r="A716">
        <v>715</v>
      </c>
      <c r="B716" s="92">
        <v>293.14</v>
      </c>
    </row>
    <row r="717" spans="1:2" x14ac:dyDescent="0.25">
      <c r="A717">
        <v>716</v>
      </c>
      <c r="B717" s="92">
        <v>293.55</v>
      </c>
    </row>
    <row r="718" spans="1:2" x14ac:dyDescent="0.25">
      <c r="A718">
        <v>717</v>
      </c>
      <c r="B718" s="92">
        <v>293.95999999999998</v>
      </c>
    </row>
    <row r="719" spans="1:2" x14ac:dyDescent="0.25">
      <c r="A719">
        <v>718</v>
      </c>
      <c r="B719" s="92">
        <v>294.36</v>
      </c>
    </row>
    <row r="720" spans="1:2" x14ac:dyDescent="0.25">
      <c r="A720">
        <v>719</v>
      </c>
      <c r="B720" s="92">
        <v>294.77</v>
      </c>
    </row>
    <row r="721" spans="1:2" x14ac:dyDescent="0.25">
      <c r="A721">
        <v>720</v>
      </c>
      <c r="B721" s="92">
        <v>295.18</v>
      </c>
    </row>
    <row r="722" spans="1:2" x14ac:dyDescent="0.25">
      <c r="A722">
        <v>721</v>
      </c>
      <c r="B722" s="92">
        <v>295.58999999999997</v>
      </c>
    </row>
    <row r="723" spans="1:2" x14ac:dyDescent="0.25">
      <c r="A723">
        <v>722</v>
      </c>
      <c r="B723" s="92">
        <v>295.99</v>
      </c>
    </row>
    <row r="724" spans="1:2" x14ac:dyDescent="0.25">
      <c r="A724">
        <v>723</v>
      </c>
      <c r="B724" s="92">
        <v>296.39999999999998</v>
      </c>
    </row>
    <row r="725" spans="1:2" x14ac:dyDescent="0.25">
      <c r="A725">
        <v>724</v>
      </c>
      <c r="B725" s="92">
        <v>296.81</v>
      </c>
    </row>
    <row r="726" spans="1:2" x14ac:dyDescent="0.25">
      <c r="A726">
        <v>725</v>
      </c>
      <c r="B726" s="92">
        <v>297.22000000000003</v>
      </c>
    </row>
    <row r="727" spans="1:2" x14ac:dyDescent="0.25">
      <c r="A727">
        <v>726</v>
      </c>
      <c r="B727" s="92">
        <v>297.56</v>
      </c>
    </row>
    <row r="728" spans="1:2" x14ac:dyDescent="0.25">
      <c r="A728">
        <v>727</v>
      </c>
      <c r="B728" s="92">
        <v>297.89999999999998</v>
      </c>
    </row>
    <row r="729" spans="1:2" x14ac:dyDescent="0.25">
      <c r="A729">
        <v>728</v>
      </c>
      <c r="B729" s="92">
        <v>298.24</v>
      </c>
    </row>
    <row r="730" spans="1:2" x14ac:dyDescent="0.25">
      <c r="A730">
        <v>729</v>
      </c>
      <c r="B730" s="92">
        <v>298.58</v>
      </c>
    </row>
    <row r="731" spans="1:2" x14ac:dyDescent="0.25">
      <c r="A731">
        <v>730</v>
      </c>
      <c r="B731" s="92">
        <v>298.92</v>
      </c>
    </row>
    <row r="732" spans="1:2" x14ac:dyDescent="0.25">
      <c r="A732">
        <v>731</v>
      </c>
      <c r="B732" s="92">
        <v>299.26</v>
      </c>
    </row>
    <row r="733" spans="1:2" x14ac:dyDescent="0.25">
      <c r="A733">
        <v>732</v>
      </c>
      <c r="B733" s="92">
        <v>299.60000000000002</v>
      </c>
    </row>
    <row r="734" spans="1:2" x14ac:dyDescent="0.25">
      <c r="A734">
        <v>733</v>
      </c>
      <c r="B734" s="92">
        <v>299.94</v>
      </c>
    </row>
    <row r="735" spans="1:2" x14ac:dyDescent="0.25">
      <c r="A735">
        <v>734</v>
      </c>
      <c r="B735" s="92">
        <v>300.27999999999997</v>
      </c>
    </row>
    <row r="736" spans="1:2" x14ac:dyDescent="0.25">
      <c r="A736">
        <v>735</v>
      </c>
      <c r="B736" s="92">
        <v>300.62</v>
      </c>
    </row>
    <row r="737" spans="1:2" x14ac:dyDescent="0.25">
      <c r="A737">
        <v>736</v>
      </c>
      <c r="B737" s="92">
        <v>300.95999999999998</v>
      </c>
    </row>
    <row r="738" spans="1:2" x14ac:dyDescent="0.25">
      <c r="A738">
        <v>737</v>
      </c>
      <c r="B738" s="92">
        <v>301.3</v>
      </c>
    </row>
    <row r="739" spans="1:2" x14ac:dyDescent="0.25">
      <c r="A739">
        <v>738</v>
      </c>
      <c r="B739" s="92">
        <v>301.64999999999998</v>
      </c>
    </row>
    <row r="740" spans="1:2" x14ac:dyDescent="0.25">
      <c r="A740">
        <v>739</v>
      </c>
      <c r="B740" s="92">
        <v>301.99</v>
      </c>
    </row>
    <row r="741" spans="1:2" x14ac:dyDescent="0.25">
      <c r="A741">
        <v>740</v>
      </c>
      <c r="B741" s="92">
        <v>302.33</v>
      </c>
    </row>
    <row r="742" spans="1:2" x14ac:dyDescent="0.25">
      <c r="A742">
        <v>741</v>
      </c>
      <c r="B742" s="92">
        <v>302.67</v>
      </c>
    </row>
    <row r="743" spans="1:2" x14ac:dyDescent="0.25">
      <c r="A743">
        <v>742</v>
      </c>
      <c r="B743" s="92">
        <v>303.01</v>
      </c>
    </row>
    <row r="744" spans="1:2" x14ac:dyDescent="0.25">
      <c r="A744">
        <v>743</v>
      </c>
      <c r="B744" s="92">
        <v>303.35000000000002</v>
      </c>
    </row>
    <row r="745" spans="1:2" x14ac:dyDescent="0.25">
      <c r="A745">
        <v>744</v>
      </c>
      <c r="B745" s="92">
        <v>303.69</v>
      </c>
    </row>
    <row r="746" spans="1:2" x14ac:dyDescent="0.25">
      <c r="A746">
        <v>745</v>
      </c>
      <c r="B746" s="92">
        <v>304.02999999999997</v>
      </c>
    </row>
    <row r="747" spans="1:2" x14ac:dyDescent="0.25">
      <c r="A747">
        <v>746</v>
      </c>
      <c r="B747" s="92">
        <v>304.37</v>
      </c>
    </row>
    <row r="748" spans="1:2" x14ac:dyDescent="0.25">
      <c r="A748">
        <v>747</v>
      </c>
      <c r="B748" s="92">
        <v>304.70999999999998</v>
      </c>
    </row>
    <row r="749" spans="1:2" x14ac:dyDescent="0.25">
      <c r="A749">
        <v>748</v>
      </c>
      <c r="B749" s="92">
        <v>305.05</v>
      </c>
    </row>
    <row r="750" spans="1:2" x14ac:dyDescent="0.25">
      <c r="A750">
        <v>749</v>
      </c>
      <c r="B750" s="92">
        <v>305.39</v>
      </c>
    </row>
    <row r="751" spans="1:2" x14ac:dyDescent="0.25">
      <c r="A751">
        <v>750</v>
      </c>
      <c r="B751" s="92">
        <v>305.73</v>
      </c>
    </row>
    <row r="752" spans="1:2" x14ac:dyDescent="0.25">
      <c r="A752">
        <v>751</v>
      </c>
      <c r="B752" s="92">
        <v>306.07</v>
      </c>
    </row>
    <row r="753" spans="1:2" x14ac:dyDescent="0.25">
      <c r="A753">
        <v>752</v>
      </c>
      <c r="B753" s="92">
        <v>306.42</v>
      </c>
    </row>
    <row r="754" spans="1:2" x14ac:dyDescent="0.25">
      <c r="A754">
        <v>753</v>
      </c>
      <c r="B754" s="92">
        <v>306.76</v>
      </c>
    </row>
    <row r="755" spans="1:2" x14ac:dyDescent="0.25">
      <c r="A755">
        <v>754</v>
      </c>
      <c r="B755" s="92">
        <v>307.10000000000002</v>
      </c>
    </row>
    <row r="756" spans="1:2" x14ac:dyDescent="0.25">
      <c r="A756">
        <v>755</v>
      </c>
      <c r="B756" s="92">
        <v>307.44</v>
      </c>
    </row>
    <row r="757" spans="1:2" x14ac:dyDescent="0.25">
      <c r="A757">
        <v>756</v>
      </c>
      <c r="B757" s="92">
        <v>307.77999999999997</v>
      </c>
    </row>
    <row r="758" spans="1:2" x14ac:dyDescent="0.25">
      <c r="A758">
        <v>757</v>
      </c>
      <c r="B758" s="92">
        <v>308.12</v>
      </c>
    </row>
    <row r="759" spans="1:2" x14ac:dyDescent="0.25">
      <c r="A759">
        <v>758</v>
      </c>
      <c r="B759" s="92">
        <v>308.45999999999998</v>
      </c>
    </row>
    <row r="760" spans="1:2" x14ac:dyDescent="0.25">
      <c r="A760">
        <v>759</v>
      </c>
      <c r="B760" s="92">
        <v>308.8</v>
      </c>
    </row>
    <row r="761" spans="1:2" x14ac:dyDescent="0.25">
      <c r="A761">
        <v>760</v>
      </c>
      <c r="B761" s="92">
        <v>309.14</v>
      </c>
    </row>
    <row r="762" spans="1:2" x14ac:dyDescent="0.25">
      <c r="A762">
        <v>761</v>
      </c>
      <c r="B762" s="92">
        <v>309.48</v>
      </c>
    </row>
    <row r="763" spans="1:2" x14ac:dyDescent="0.25">
      <c r="A763">
        <v>762</v>
      </c>
      <c r="B763" s="92">
        <v>309.83</v>
      </c>
    </row>
    <row r="764" spans="1:2" x14ac:dyDescent="0.25">
      <c r="A764">
        <v>763</v>
      </c>
      <c r="B764" s="92">
        <v>310.17</v>
      </c>
    </row>
    <row r="765" spans="1:2" x14ac:dyDescent="0.25">
      <c r="A765">
        <v>764</v>
      </c>
      <c r="B765" s="92">
        <v>310.51</v>
      </c>
    </row>
    <row r="766" spans="1:2" x14ac:dyDescent="0.25">
      <c r="A766">
        <v>765</v>
      </c>
      <c r="B766" s="92">
        <v>310.85000000000002</v>
      </c>
    </row>
    <row r="767" spans="1:2" x14ac:dyDescent="0.25">
      <c r="A767">
        <v>766</v>
      </c>
      <c r="B767" s="92">
        <v>311.19</v>
      </c>
    </row>
    <row r="768" spans="1:2" x14ac:dyDescent="0.25">
      <c r="A768">
        <v>767</v>
      </c>
      <c r="B768" s="92">
        <v>311.52999999999997</v>
      </c>
    </row>
    <row r="769" spans="1:2" x14ac:dyDescent="0.25">
      <c r="A769">
        <v>768</v>
      </c>
      <c r="B769" s="92">
        <v>311.87</v>
      </c>
    </row>
    <row r="770" spans="1:2" x14ac:dyDescent="0.25">
      <c r="A770">
        <v>769</v>
      </c>
      <c r="B770" s="92">
        <v>312.20999999999998</v>
      </c>
    </row>
    <row r="771" spans="1:2" x14ac:dyDescent="0.25">
      <c r="A771">
        <v>770</v>
      </c>
      <c r="B771" s="92">
        <v>312.55</v>
      </c>
    </row>
    <row r="772" spans="1:2" x14ac:dyDescent="0.25">
      <c r="A772">
        <v>771</v>
      </c>
      <c r="B772" s="92">
        <v>312.89</v>
      </c>
    </row>
    <row r="773" spans="1:2" x14ac:dyDescent="0.25">
      <c r="A773">
        <v>772</v>
      </c>
      <c r="B773" s="92">
        <v>313.24</v>
      </c>
    </row>
    <row r="774" spans="1:2" x14ac:dyDescent="0.25">
      <c r="A774">
        <v>773</v>
      </c>
      <c r="B774" s="92">
        <v>313.58</v>
      </c>
    </row>
    <row r="775" spans="1:2" x14ac:dyDescent="0.25">
      <c r="A775">
        <v>774</v>
      </c>
      <c r="B775" s="92">
        <v>313.92</v>
      </c>
    </row>
    <row r="776" spans="1:2" x14ac:dyDescent="0.25">
      <c r="A776">
        <v>775</v>
      </c>
      <c r="B776" s="92">
        <v>314.26</v>
      </c>
    </row>
    <row r="777" spans="1:2" x14ac:dyDescent="0.25">
      <c r="A777">
        <v>776</v>
      </c>
      <c r="B777" s="92">
        <v>314.61</v>
      </c>
    </row>
    <row r="778" spans="1:2" x14ac:dyDescent="0.25">
      <c r="A778">
        <v>777</v>
      </c>
      <c r="B778" s="92">
        <v>314.95</v>
      </c>
    </row>
    <row r="779" spans="1:2" x14ac:dyDescent="0.25">
      <c r="A779">
        <v>778</v>
      </c>
      <c r="B779" s="92">
        <v>315.3</v>
      </c>
    </row>
    <row r="780" spans="1:2" x14ac:dyDescent="0.25">
      <c r="A780">
        <v>779</v>
      </c>
      <c r="B780" s="92">
        <v>315.64999999999998</v>
      </c>
    </row>
    <row r="781" spans="1:2" x14ac:dyDescent="0.25">
      <c r="A781">
        <v>780</v>
      </c>
      <c r="B781" s="92">
        <v>316</v>
      </c>
    </row>
    <row r="782" spans="1:2" x14ac:dyDescent="0.25">
      <c r="A782">
        <v>781</v>
      </c>
      <c r="B782" s="92">
        <v>316.33999999999997</v>
      </c>
    </row>
    <row r="783" spans="1:2" x14ac:dyDescent="0.25">
      <c r="A783">
        <v>782</v>
      </c>
      <c r="B783" s="92">
        <v>316.69</v>
      </c>
    </row>
    <row r="784" spans="1:2" x14ac:dyDescent="0.25">
      <c r="A784">
        <v>783</v>
      </c>
      <c r="B784" s="92">
        <v>317.04000000000002</v>
      </c>
    </row>
    <row r="785" spans="1:2" x14ac:dyDescent="0.25">
      <c r="A785">
        <v>784</v>
      </c>
      <c r="B785" s="92">
        <v>317.39</v>
      </c>
    </row>
    <row r="786" spans="1:2" x14ac:dyDescent="0.25">
      <c r="A786">
        <v>785</v>
      </c>
      <c r="B786" s="92">
        <v>317.74</v>
      </c>
    </row>
    <row r="787" spans="1:2" x14ac:dyDescent="0.25">
      <c r="A787">
        <v>786</v>
      </c>
      <c r="B787" s="92">
        <v>318.08</v>
      </c>
    </row>
    <row r="788" spans="1:2" x14ac:dyDescent="0.25">
      <c r="A788">
        <v>787</v>
      </c>
      <c r="B788" s="92">
        <v>318.43</v>
      </c>
    </row>
    <row r="789" spans="1:2" x14ac:dyDescent="0.25">
      <c r="A789">
        <v>788</v>
      </c>
      <c r="B789" s="92">
        <v>318.77999999999997</v>
      </c>
    </row>
    <row r="790" spans="1:2" x14ac:dyDescent="0.25">
      <c r="A790">
        <v>789</v>
      </c>
      <c r="B790" s="92">
        <v>319.13</v>
      </c>
    </row>
    <row r="791" spans="1:2" x14ac:dyDescent="0.25">
      <c r="A791">
        <v>790</v>
      </c>
      <c r="B791" s="92">
        <v>319.47000000000003</v>
      </c>
    </row>
    <row r="792" spans="1:2" x14ac:dyDescent="0.25">
      <c r="A792">
        <v>791</v>
      </c>
      <c r="B792" s="92">
        <v>319.82</v>
      </c>
    </row>
    <row r="793" spans="1:2" x14ac:dyDescent="0.25">
      <c r="A793">
        <v>792</v>
      </c>
      <c r="B793" s="92">
        <v>320.17</v>
      </c>
    </row>
    <row r="794" spans="1:2" x14ac:dyDescent="0.25">
      <c r="A794">
        <v>793</v>
      </c>
      <c r="B794" s="92">
        <v>320.52</v>
      </c>
    </row>
    <row r="795" spans="1:2" x14ac:dyDescent="0.25">
      <c r="A795">
        <v>794</v>
      </c>
      <c r="B795" s="92">
        <v>320.86</v>
      </c>
    </row>
    <row r="796" spans="1:2" x14ac:dyDescent="0.25">
      <c r="A796">
        <v>795</v>
      </c>
      <c r="B796" s="92">
        <v>321.20999999999998</v>
      </c>
    </row>
    <row r="797" spans="1:2" x14ac:dyDescent="0.25">
      <c r="A797">
        <v>796</v>
      </c>
      <c r="B797" s="92">
        <v>321.56</v>
      </c>
    </row>
    <row r="798" spans="1:2" x14ac:dyDescent="0.25">
      <c r="A798">
        <v>797</v>
      </c>
      <c r="B798" s="92">
        <v>321.91000000000003</v>
      </c>
    </row>
    <row r="799" spans="1:2" x14ac:dyDescent="0.25">
      <c r="A799">
        <v>798</v>
      </c>
      <c r="B799" s="92">
        <v>322.26</v>
      </c>
    </row>
    <row r="800" spans="1:2" x14ac:dyDescent="0.25">
      <c r="A800">
        <v>799</v>
      </c>
      <c r="B800" s="92">
        <v>322.60000000000002</v>
      </c>
    </row>
    <row r="801" spans="1:2" x14ac:dyDescent="0.25">
      <c r="A801">
        <v>800</v>
      </c>
      <c r="B801" s="92">
        <v>322.95</v>
      </c>
    </row>
    <row r="802" spans="1:2" x14ac:dyDescent="0.25">
      <c r="A802">
        <v>801</v>
      </c>
      <c r="B802" s="92">
        <v>323.19</v>
      </c>
    </row>
    <row r="803" spans="1:2" x14ac:dyDescent="0.25">
      <c r="A803">
        <v>802</v>
      </c>
      <c r="B803" s="92">
        <v>323.43</v>
      </c>
    </row>
    <row r="804" spans="1:2" x14ac:dyDescent="0.25">
      <c r="A804">
        <v>803</v>
      </c>
      <c r="B804" s="92">
        <v>323.67</v>
      </c>
    </row>
    <row r="805" spans="1:2" x14ac:dyDescent="0.25">
      <c r="A805">
        <v>804</v>
      </c>
      <c r="B805" s="92">
        <v>323.91000000000003</v>
      </c>
    </row>
    <row r="806" spans="1:2" x14ac:dyDescent="0.25">
      <c r="A806">
        <v>805</v>
      </c>
      <c r="B806" s="92">
        <v>324.16000000000003</v>
      </c>
    </row>
    <row r="807" spans="1:2" x14ac:dyDescent="0.25">
      <c r="A807">
        <v>806</v>
      </c>
      <c r="B807" s="92">
        <v>324.39999999999998</v>
      </c>
    </row>
    <row r="808" spans="1:2" x14ac:dyDescent="0.25">
      <c r="A808">
        <v>807</v>
      </c>
      <c r="B808" s="92">
        <v>324.64</v>
      </c>
    </row>
    <row r="809" spans="1:2" x14ac:dyDescent="0.25">
      <c r="A809">
        <v>808</v>
      </c>
      <c r="B809" s="92">
        <v>324.88</v>
      </c>
    </row>
    <row r="810" spans="1:2" x14ac:dyDescent="0.25">
      <c r="A810">
        <v>809</v>
      </c>
      <c r="B810" s="92">
        <v>325.12</v>
      </c>
    </row>
    <row r="811" spans="1:2" x14ac:dyDescent="0.25">
      <c r="A811">
        <v>810</v>
      </c>
      <c r="B811" s="92">
        <v>325.36</v>
      </c>
    </row>
    <row r="812" spans="1:2" x14ac:dyDescent="0.25">
      <c r="A812">
        <v>811</v>
      </c>
      <c r="B812" s="92">
        <v>325.60000000000002</v>
      </c>
    </row>
    <row r="813" spans="1:2" x14ac:dyDescent="0.25">
      <c r="A813">
        <v>812</v>
      </c>
      <c r="B813" s="92">
        <v>325.83999999999997</v>
      </c>
    </row>
    <row r="814" spans="1:2" x14ac:dyDescent="0.25">
      <c r="A814">
        <v>813</v>
      </c>
      <c r="B814" s="92">
        <v>326.08</v>
      </c>
    </row>
    <row r="815" spans="1:2" x14ac:dyDescent="0.25">
      <c r="A815">
        <v>814</v>
      </c>
      <c r="B815" s="92">
        <v>326.32</v>
      </c>
    </row>
    <row r="816" spans="1:2" x14ac:dyDescent="0.25">
      <c r="A816">
        <v>815</v>
      </c>
      <c r="B816" s="92">
        <v>326.57</v>
      </c>
    </row>
    <row r="817" spans="1:2" x14ac:dyDescent="0.25">
      <c r="A817">
        <v>816</v>
      </c>
      <c r="B817" s="92">
        <v>326.81</v>
      </c>
    </row>
    <row r="818" spans="1:2" x14ac:dyDescent="0.25">
      <c r="A818">
        <v>817</v>
      </c>
      <c r="B818" s="92">
        <v>327.05</v>
      </c>
    </row>
    <row r="819" spans="1:2" x14ac:dyDescent="0.25">
      <c r="A819">
        <v>818</v>
      </c>
      <c r="B819" s="92">
        <v>327.29000000000002</v>
      </c>
    </row>
    <row r="820" spans="1:2" x14ac:dyDescent="0.25">
      <c r="A820">
        <v>819</v>
      </c>
      <c r="B820" s="92">
        <v>327.52999999999997</v>
      </c>
    </row>
    <row r="821" spans="1:2" x14ac:dyDescent="0.25">
      <c r="A821">
        <v>820</v>
      </c>
      <c r="B821" s="92">
        <v>327.77</v>
      </c>
    </row>
    <row r="822" spans="1:2" x14ac:dyDescent="0.25">
      <c r="A822">
        <v>821</v>
      </c>
      <c r="B822" s="92">
        <v>328.01</v>
      </c>
    </row>
    <row r="823" spans="1:2" x14ac:dyDescent="0.25">
      <c r="A823">
        <v>822</v>
      </c>
      <c r="B823" s="92">
        <v>328.25</v>
      </c>
    </row>
    <row r="824" spans="1:2" x14ac:dyDescent="0.25">
      <c r="A824">
        <v>823</v>
      </c>
      <c r="B824" s="92">
        <v>328.49</v>
      </c>
    </row>
    <row r="825" spans="1:2" x14ac:dyDescent="0.25">
      <c r="A825">
        <v>824</v>
      </c>
      <c r="B825" s="92">
        <v>328.73</v>
      </c>
    </row>
    <row r="826" spans="1:2" x14ac:dyDescent="0.25">
      <c r="A826">
        <v>825</v>
      </c>
      <c r="B826" s="92">
        <v>328.98</v>
      </c>
    </row>
    <row r="827" spans="1:2" x14ac:dyDescent="0.25">
      <c r="A827">
        <v>826</v>
      </c>
      <c r="B827" s="92">
        <v>329.34</v>
      </c>
    </row>
    <row r="828" spans="1:2" x14ac:dyDescent="0.25">
      <c r="A828">
        <v>827</v>
      </c>
      <c r="B828" s="92">
        <v>329.7</v>
      </c>
    </row>
    <row r="829" spans="1:2" x14ac:dyDescent="0.25">
      <c r="A829">
        <v>828</v>
      </c>
      <c r="B829" s="92">
        <v>330.06</v>
      </c>
    </row>
    <row r="830" spans="1:2" x14ac:dyDescent="0.25">
      <c r="A830">
        <v>829</v>
      </c>
      <c r="B830" s="92">
        <v>330.42</v>
      </c>
    </row>
    <row r="831" spans="1:2" x14ac:dyDescent="0.25">
      <c r="A831">
        <v>830</v>
      </c>
      <c r="B831" s="92">
        <v>330.79</v>
      </c>
    </row>
    <row r="832" spans="1:2" x14ac:dyDescent="0.25">
      <c r="A832">
        <v>831</v>
      </c>
      <c r="B832" s="92">
        <v>331.15</v>
      </c>
    </row>
    <row r="833" spans="1:2" x14ac:dyDescent="0.25">
      <c r="A833">
        <v>832</v>
      </c>
      <c r="B833" s="92">
        <v>331.51</v>
      </c>
    </row>
    <row r="834" spans="1:2" x14ac:dyDescent="0.25">
      <c r="A834">
        <v>833</v>
      </c>
      <c r="B834" s="92">
        <v>331.87</v>
      </c>
    </row>
    <row r="835" spans="1:2" x14ac:dyDescent="0.25">
      <c r="A835">
        <v>834</v>
      </c>
      <c r="B835" s="92">
        <v>332.23</v>
      </c>
    </row>
    <row r="836" spans="1:2" x14ac:dyDescent="0.25">
      <c r="A836">
        <v>835</v>
      </c>
      <c r="B836" s="92">
        <v>332.6</v>
      </c>
    </row>
    <row r="837" spans="1:2" x14ac:dyDescent="0.25">
      <c r="A837">
        <v>836</v>
      </c>
      <c r="B837" s="92">
        <v>332.96</v>
      </c>
    </row>
    <row r="838" spans="1:2" x14ac:dyDescent="0.25">
      <c r="A838">
        <v>837</v>
      </c>
      <c r="B838" s="92">
        <v>333.32</v>
      </c>
    </row>
    <row r="839" spans="1:2" x14ac:dyDescent="0.25">
      <c r="A839">
        <v>838</v>
      </c>
      <c r="B839" s="92">
        <v>333.68</v>
      </c>
    </row>
    <row r="840" spans="1:2" x14ac:dyDescent="0.25">
      <c r="A840">
        <v>839</v>
      </c>
      <c r="B840" s="92">
        <v>334.05</v>
      </c>
    </row>
    <row r="841" spans="1:2" x14ac:dyDescent="0.25">
      <c r="A841">
        <v>840</v>
      </c>
      <c r="B841" s="92">
        <v>334.41</v>
      </c>
    </row>
    <row r="842" spans="1:2" x14ac:dyDescent="0.25">
      <c r="A842">
        <v>841</v>
      </c>
      <c r="B842" s="92">
        <v>334.77</v>
      </c>
    </row>
    <row r="843" spans="1:2" x14ac:dyDescent="0.25">
      <c r="A843">
        <v>842</v>
      </c>
      <c r="B843" s="92">
        <v>335.13</v>
      </c>
    </row>
    <row r="844" spans="1:2" x14ac:dyDescent="0.25">
      <c r="A844">
        <v>843</v>
      </c>
      <c r="B844" s="92">
        <v>335.49</v>
      </c>
    </row>
    <row r="845" spans="1:2" x14ac:dyDescent="0.25">
      <c r="A845">
        <v>844</v>
      </c>
      <c r="B845" s="92">
        <v>335.86</v>
      </c>
    </row>
    <row r="846" spans="1:2" x14ac:dyDescent="0.25">
      <c r="A846">
        <v>845</v>
      </c>
      <c r="B846" s="92">
        <v>336.22</v>
      </c>
    </row>
    <row r="847" spans="1:2" x14ac:dyDescent="0.25">
      <c r="A847">
        <v>846</v>
      </c>
      <c r="B847" s="92">
        <v>336.58</v>
      </c>
    </row>
    <row r="848" spans="1:2" x14ac:dyDescent="0.25">
      <c r="A848">
        <v>847</v>
      </c>
      <c r="B848" s="92">
        <v>336.94</v>
      </c>
    </row>
    <row r="849" spans="1:2" x14ac:dyDescent="0.25">
      <c r="A849">
        <v>848</v>
      </c>
      <c r="B849" s="92">
        <v>337.31</v>
      </c>
    </row>
    <row r="850" spans="1:2" x14ac:dyDescent="0.25">
      <c r="A850">
        <v>849</v>
      </c>
      <c r="B850" s="92">
        <v>337.67</v>
      </c>
    </row>
    <row r="851" spans="1:2" x14ac:dyDescent="0.25">
      <c r="A851">
        <v>850</v>
      </c>
      <c r="B851" s="92">
        <v>338.03</v>
      </c>
    </row>
    <row r="852" spans="1:2" x14ac:dyDescent="0.25">
      <c r="A852">
        <v>851</v>
      </c>
      <c r="B852" s="92">
        <v>338.35</v>
      </c>
    </row>
    <row r="853" spans="1:2" x14ac:dyDescent="0.25">
      <c r="A853">
        <v>852</v>
      </c>
      <c r="B853" s="92">
        <v>338.68</v>
      </c>
    </row>
    <row r="854" spans="1:2" x14ac:dyDescent="0.25">
      <c r="A854">
        <v>853</v>
      </c>
      <c r="B854" s="92">
        <v>339</v>
      </c>
    </row>
    <row r="855" spans="1:2" x14ac:dyDescent="0.25">
      <c r="A855">
        <v>854</v>
      </c>
      <c r="B855" s="92">
        <v>339.32</v>
      </c>
    </row>
    <row r="856" spans="1:2" x14ac:dyDescent="0.25">
      <c r="A856">
        <v>855</v>
      </c>
      <c r="B856" s="92">
        <v>339.64</v>
      </c>
    </row>
    <row r="857" spans="1:2" x14ac:dyDescent="0.25">
      <c r="A857">
        <v>856</v>
      </c>
      <c r="B857" s="92">
        <v>339.97</v>
      </c>
    </row>
    <row r="858" spans="1:2" x14ac:dyDescent="0.25">
      <c r="A858">
        <v>857</v>
      </c>
      <c r="B858" s="92">
        <v>340.29</v>
      </c>
    </row>
    <row r="859" spans="1:2" x14ac:dyDescent="0.25">
      <c r="A859">
        <v>858</v>
      </c>
      <c r="B859" s="92">
        <v>340.61</v>
      </c>
    </row>
    <row r="860" spans="1:2" x14ac:dyDescent="0.25">
      <c r="A860">
        <v>859</v>
      </c>
      <c r="B860" s="92">
        <v>340.93</v>
      </c>
    </row>
    <row r="861" spans="1:2" x14ac:dyDescent="0.25">
      <c r="A861">
        <v>860</v>
      </c>
      <c r="B861" s="92">
        <v>341.26</v>
      </c>
    </row>
    <row r="862" spans="1:2" x14ac:dyDescent="0.25">
      <c r="A862">
        <v>861</v>
      </c>
      <c r="B862" s="92">
        <v>341.58</v>
      </c>
    </row>
    <row r="863" spans="1:2" x14ac:dyDescent="0.25">
      <c r="A863">
        <v>862</v>
      </c>
      <c r="B863" s="92">
        <v>341.9</v>
      </c>
    </row>
    <row r="864" spans="1:2" x14ac:dyDescent="0.25">
      <c r="A864">
        <v>863</v>
      </c>
      <c r="B864" s="92">
        <v>342.22</v>
      </c>
    </row>
    <row r="865" spans="1:2" x14ac:dyDescent="0.25">
      <c r="A865">
        <v>864</v>
      </c>
      <c r="B865" s="92">
        <v>342.55</v>
      </c>
    </row>
    <row r="866" spans="1:2" x14ac:dyDescent="0.25">
      <c r="A866">
        <v>865</v>
      </c>
      <c r="B866" s="92">
        <v>342.87</v>
      </c>
    </row>
    <row r="867" spans="1:2" x14ac:dyDescent="0.25">
      <c r="A867">
        <v>866</v>
      </c>
      <c r="B867" s="92">
        <v>343.19</v>
      </c>
    </row>
    <row r="868" spans="1:2" x14ac:dyDescent="0.25">
      <c r="A868">
        <v>867</v>
      </c>
      <c r="B868" s="92">
        <v>343.51</v>
      </c>
    </row>
    <row r="869" spans="1:2" x14ac:dyDescent="0.25">
      <c r="A869">
        <v>868</v>
      </c>
      <c r="B869" s="92">
        <v>343.84</v>
      </c>
    </row>
    <row r="870" spans="1:2" x14ac:dyDescent="0.25">
      <c r="A870">
        <v>869</v>
      </c>
      <c r="B870" s="92">
        <v>344.16</v>
      </c>
    </row>
    <row r="871" spans="1:2" x14ac:dyDescent="0.25">
      <c r="A871">
        <v>870</v>
      </c>
      <c r="B871" s="92">
        <v>344.48</v>
      </c>
    </row>
    <row r="872" spans="1:2" x14ac:dyDescent="0.25">
      <c r="A872">
        <v>871</v>
      </c>
      <c r="B872" s="92">
        <v>344.81</v>
      </c>
    </row>
    <row r="873" spans="1:2" x14ac:dyDescent="0.25">
      <c r="A873">
        <v>872</v>
      </c>
      <c r="B873" s="92">
        <v>345.13</v>
      </c>
    </row>
    <row r="874" spans="1:2" x14ac:dyDescent="0.25">
      <c r="A874">
        <v>873</v>
      </c>
      <c r="B874" s="92">
        <v>345.45</v>
      </c>
    </row>
    <row r="875" spans="1:2" x14ac:dyDescent="0.25">
      <c r="A875">
        <v>874</v>
      </c>
      <c r="B875" s="92">
        <v>345.77</v>
      </c>
    </row>
    <row r="876" spans="1:2" x14ac:dyDescent="0.25">
      <c r="A876">
        <v>875</v>
      </c>
      <c r="B876" s="92">
        <v>346.1</v>
      </c>
    </row>
    <row r="877" spans="1:2" x14ac:dyDescent="0.25">
      <c r="A877">
        <v>876</v>
      </c>
      <c r="B877" s="92">
        <v>346.47</v>
      </c>
    </row>
    <row r="878" spans="1:2" x14ac:dyDescent="0.25">
      <c r="A878">
        <v>877</v>
      </c>
      <c r="B878" s="92">
        <v>346.85</v>
      </c>
    </row>
    <row r="879" spans="1:2" x14ac:dyDescent="0.25">
      <c r="A879">
        <v>878</v>
      </c>
      <c r="B879" s="92">
        <v>347.22</v>
      </c>
    </row>
    <row r="880" spans="1:2" x14ac:dyDescent="0.25">
      <c r="A880">
        <v>879</v>
      </c>
      <c r="B880" s="92">
        <v>347.6</v>
      </c>
    </row>
    <row r="881" spans="1:2" x14ac:dyDescent="0.25">
      <c r="A881">
        <v>880</v>
      </c>
      <c r="B881" s="92">
        <v>347.98</v>
      </c>
    </row>
    <row r="882" spans="1:2" x14ac:dyDescent="0.25">
      <c r="A882">
        <v>881</v>
      </c>
      <c r="B882" s="92">
        <v>348.35</v>
      </c>
    </row>
    <row r="883" spans="1:2" x14ac:dyDescent="0.25">
      <c r="A883">
        <v>882</v>
      </c>
      <c r="B883" s="92">
        <v>348.73</v>
      </c>
    </row>
    <row r="884" spans="1:2" x14ac:dyDescent="0.25">
      <c r="A884">
        <v>883</v>
      </c>
      <c r="B884" s="92">
        <v>349.1</v>
      </c>
    </row>
    <row r="885" spans="1:2" x14ac:dyDescent="0.25">
      <c r="A885">
        <v>884</v>
      </c>
      <c r="B885" s="92">
        <v>349.48</v>
      </c>
    </row>
    <row r="886" spans="1:2" x14ac:dyDescent="0.25">
      <c r="A886">
        <v>885</v>
      </c>
      <c r="B886" s="92">
        <v>349.86</v>
      </c>
    </row>
    <row r="887" spans="1:2" x14ac:dyDescent="0.25">
      <c r="A887">
        <v>886</v>
      </c>
      <c r="B887" s="92">
        <v>350.23</v>
      </c>
    </row>
    <row r="888" spans="1:2" x14ac:dyDescent="0.25">
      <c r="A888">
        <v>887</v>
      </c>
      <c r="B888" s="92">
        <v>350.61</v>
      </c>
    </row>
    <row r="889" spans="1:2" x14ac:dyDescent="0.25">
      <c r="A889">
        <v>888</v>
      </c>
      <c r="B889" s="92">
        <v>350.98</v>
      </c>
    </row>
    <row r="890" spans="1:2" x14ac:dyDescent="0.25">
      <c r="A890">
        <v>889</v>
      </c>
      <c r="B890" s="92">
        <v>351.36</v>
      </c>
    </row>
    <row r="891" spans="1:2" x14ac:dyDescent="0.25">
      <c r="A891">
        <v>890</v>
      </c>
      <c r="B891" s="92">
        <v>351.74</v>
      </c>
    </row>
    <row r="892" spans="1:2" x14ac:dyDescent="0.25">
      <c r="A892">
        <v>891</v>
      </c>
      <c r="B892" s="92">
        <v>352.11</v>
      </c>
    </row>
    <row r="893" spans="1:2" x14ac:dyDescent="0.25">
      <c r="A893">
        <v>892</v>
      </c>
      <c r="B893" s="92">
        <v>352.49</v>
      </c>
    </row>
    <row r="894" spans="1:2" x14ac:dyDescent="0.25">
      <c r="A894">
        <v>893</v>
      </c>
      <c r="B894" s="92">
        <v>352.86</v>
      </c>
    </row>
    <row r="895" spans="1:2" x14ac:dyDescent="0.25">
      <c r="A895">
        <v>894</v>
      </c>
      <c r="B895" s="92">
        <v>353.24</v>
      </c>
    </row>
    <row r="896" spans="1:2" x14ac:dyDescent="0.25">
      <c r="A896">
        <v>895</v>
      </c>
      <c r="B896" s="92">
        <v>353.62</v>
      </c>
    </row>
    <row r="897" spans="1:2" x14ac:dyDescent="0.25">
      <c r="A897">
        <v>896</v>
      </c>
      <c r="B897" s="92">
        <v>353.99</v>
      </c>
    </row>
    <row r="898" spans="1:2" x14ac:dyDescent="0.25">
      <c r="A898">
        <v>897</v>
      </c>
      <c r="B898" s="92">
        <v>354.37</v>
      </c>
    </row>
    <row r="899" spans="1:2" x14ac:dyDescent="0.25">
      <c r="A899">
        <v>898</v>
      </c>
      <c r="B899" s="92">
        <v>354.74</v>
      </c>
    </row>
    <row r="900" spans="1:2" x14ac:dyDescent="0.25">
      <c r="A900">
        <v>899</v>
      </c>
      <c r="B900" s="92">
        <v>355.12</v>
      </c>
    </row>
    <row r="901" spans="1:2" x14ac:dyDescent="0.25">
      <c r="A901">
        <v>900</v>
      </c>
      <c r="B901" s="92">
        <v>355.5</v>
      </c>
    </row>
    <row r="902" spans="1:2" x14ac:dyDescent="0.25">
      <c r="A902">
        <v>901</v>
      </c>
      <c r="B902" s="92">
        <v>356.02</v>
      </c>
    </row>
    <row r="903" spans="1:2" x14ac:dyDescent="0.25">
      <c r="A903">
        <v>902</v>
      </c>
      <c r="B903" s="92">
        <v>356.53</v>
      </c>
    </row>
    <row r="904" spans="1:2" x14ac:dyDescent="0.25">
      <c r="A904">
        <v>903</v>
      </c>
      <c r="B904" s="92">
        <v>357.05</v>
      </c>
    </row>
    <row r="905" spans="1:2" x14ac:dyDescent="0.25">
      <c r="A905">
        <v>904</v>
      </c>
      <c r="B905" s="92">
        <v>357.57</v>
      </c>
    </row>
    <row r="906" spans="1:2" x14ac:dyDescent="0.25">
      <c r="A906">
        <v>905</v>
      </c>
      <c r="B906" s="92">
        <v>358.09</v>
      </c>
    </row>
    <row r="907" spans="1:2" x14ac:dyDescent="0.25">
      <c r="A907">
        <v>906</v>
      </c>
      <c r="B907" s="92">
        <v>358.61</v>
      </c>
    </row>
    <row r="908" spans="1:2" x14ac:dyDescent="0.25">
      <c r="A908">
        <v>907</v>
      </c>
      <c r="B908" s="92">
        <v>359.13</v>
      </c>
    </row>
    <row r="909" spans="1:2" x14ac:dyDescent="0.25">
      <c r="A909">
        <v>908</v>
      </c>
      <c r="B909" s="92">
        <v>359.65</v>
      </c>
    </row>
    <row r="910" spans="1:2" x14ac:dyDescent="0.25">
      <c r="A910">
        <v>909</v>
      </c>
      <c r="B910" s="92">
        <v>360.17</v>
      </c>
    </row>
    <row r="911" spans="1:2" x14ac:dyDescent="0.25">
      <c r="A911">
        <v>910</v>
      </c>
      <c r="B911" s="92">
        <v>360.68</v>
      </c>
    </row>
    <row r="912" spans="1:2" x14ac:dyDescent="0.25">
      <c r="A912">
        <v>911</v>
      </c>
      <c r="B912" s="92">
        <v>361.2</v>
      </c>
    </row>
    <row r="913" spans="1:2" x14ac:dyDescent="0.25">
      <c r="A913">
        <v>912</v>
      </c>
      <c r="B913" s="92">
        <v>361.72</v>
      </c>
    </row>
    <row r="914" spans="1:2" x14ac:dyDescent="0.25">
      <c r="A914">
        <v>913</v>
      </c>
      <c r="B914" s="92">
        <v>362.24</v>
      </c>
    </row>
    <row r="915" spans="1:2" x14ac:dyDescent="0.25">
      <c r="A915">
        <v>914</v>
      </c>
      <c r="B915" s="92">
        <v>362.76</v>
      </c>
    </row>
    <row r="916" spans="1:2" x14ac:dyDescent="0.25">
      <c r="A916">
        <v>915</v>
      </c>
      <c r="B916" s="92">
        <v>363.28</v>
      </c>
    </row>
    <row r="917" spans="1:2" x14ac:dyDescent="0.25">
      <c r="A917">
        <v>916</v>
      </c>
      <c r="B917" s="92">
        <v>363.8</v>
      </c>
    </row>
    <row r="918" spans="1:2" x14ac:dyDescent="0.25">
      <c r="A918">
        <v>917</v>
      </c>
      <c r="B918" s="92">
        <v>364.32</v>
      </c>
    </row>
    <row r="919" spans="1:2" x14ac:dyDescent="0.25">
      <c r="A919">
        <v>918</v>
      </c>
      <c r="B919" s="92">
        <v>364.84</v>
      </c>
    </row>
    <row r="920" spans="1:2" x14ac:dyDescent="0.25">
      <c r="A920">
        <v>919</v>
      </c>
      <c r="B920" s="92">
        <v>365.35</v>
      </c>
    </row>
    <row r="921" spans="1:2" x14ac:dyDescent="0.25">
      <c r="A921">
        <v>920</v>
      </c>
      <c r="B921" s="92">
        <v>365.87</v>
      </c>
    </row>
    <row r="922" spans="1:2" x14ac:dyDescent="0.25">
      <c r="A922">
        <v>921</v>
      </c>
      <c r="B922" s="92">
        <v>366.39</v>
      </c>
    </row>
    <row r="923" spans="1:2" x14ac:dyDescent="0.25">
      <c r="A923">
        <v>922</v>
      </c>
      <c r="B923" s="92">
        <v>366.91</v>
      </c>
    </row>
    <row r="924" spans="1:2" x14ac:dyDescent="0.25">
      <c r="A924">
        <v>923</v>
      </c>
      <c r="B924" s="92">
        <v>367.43</v>
      </c>
    </row>
    <row r="925" spans="1:2" x14ac:dyDescent="0.25">
      <c r="A925">
        <v>924</v>
      </c>
      <c r="B925" s="92">
        <v>367.95</v>
      </c>
    </row>
    <row r="926" spans="1:2" x14ac:dyDescent="0.25">
      <c r="A926">
        <v>925</v>
      </c>
      <c r="B926" s="92">
        <v>368.47</v>
      </c>
    </row>
    <row r="927" spans="1:2" x14ac:dyDescent="0.25">
      <c r="A927">
        <v>926</v>
      </c>
      <c r="B927" s="92">
        <v>368.81</v>
      </c>
    </row>
    <row r="928" spans="1:2" x14ac:dyDescent="0.25">
      <c r="A928">
        <v>927</v>
      </c>
      <c r="B928" s="92">
        <v>369.16</v>
      </c>
    </row>
    <row r="929" spans="1:2" x14ac:dyDescent="0.25">
      <c r="A929">
        <v>928</v>
      </c>
      <c r="B929" s="92">
        <v>369.5</v>
      </c>
    </row>
    <row r="930" spans="1:2" x14ac:dyDescent="0.25">
      <c r="A930">
        <v>929</v>
      </c>
      <c r="B930" s="92">
        <v>369.85</v>
      </c>
    </row>
    <row r="931" spans="1:2" x14ac:dyDescent="0.25">
      <c r="A931">
        <v>930</v>
      </c>
      <c r="B931" s="92">
        <v>370.19</v>
      </c>
    </row>
    <row r="932" spans="1:2" x14ac:dyDescent="0.25">
      <c r="A932">
        <v>931</v>
      </c>
      <c r="B932" s="92">
        <v>370.54</v>
      </c>
    </row>
    <row r="933" spans="1:2" x14ac:dyDescent="0.25">
      <c r="A933">
        <v>932</v>
      </c>
      <c r="B933" s="92">
        <v>370.88</v>
      </c>
    </row>
    <row r="934" spans="1:2" x14ac:dyDescent="0.25">
      <c r="A934">
        <v>933</v>
      </c>
      <c r="B934" s="92">
        <v>371.23</v>
      </c>
    </row>
    <row r="935" spans="1:2" x14ac:dyDescent="0.25">
      <c r="A935">
        <v>934</v>
      </c>
      <c r="B935" s="92">
        <v>371.57</v>
      </c>
    </row>
    <row r="936" spans="1:2" x14ac:dyDescent="0.25">
      <c r="A936">
        <v>935</v>
      </c>
      <c r="B936" s="92">
        <v>371.92</v>
      </c>
    </row>
    <row r="937" spans="1:2" x14ac:dyDescent="0.25">
      <c r="A937">
        <v>936</v>
      </c>
      <c r="B937" s="92">
        <v>372.26</v>
      </c>
    </row>
    <row r="938" spans="1:2" x14ac:dyDescent="0.25">
      <c r="A938">
        <v>937</v>
      </c>
      <c r="B938" s="92">
        <v>372.61</v>
      </c>
    </row>
    <row r="939" spans="1:2" x14ac:dyDescent="0.25">
      <c r="A939">
        <v>938</v>
      </c>
      <c r="B939" s="92">
        <v>372.96</v>
      </c>
    </row>
    <row r="940" spans="1:2" x14ac:dyDescent="0.25">
      <c r="A940">
        <v>939</v>
      </c>
      <c r="B940" s="92">
        <v>373.3</v>
      </c>
    </row>
    <row r="941" spans="1:2" x14ac:dyDescent="0.25">
      <c r="A941">
        <v>940</v>
      </c>
      <c r="B941" s="92">
        <v>373.65</v>
      </c>
    </row>
    <row r="942" spans="1:2" x14ac:dyDescent="0.25">
      <c r="A942">
        <v>941</v>
      </c>
      <c r="B942" s="92">
        <v>373.99</v>
      </c>
    </row>
    <row r="943" spans="1:2" x14ac:dyDescent="0.25">
      <c r="A943">
        <v>942</v>
      </c>
      <c r="B943" s="92">
        <v>374.34</v>
      </c>
    </row>
    <row r="944" spans="1:2" x14ac:dyDescent="0.25">
      <c r="A944">
        <v>943</v>
      </c>
      <c r="B944" s="92">
        <v>374.68</v>
      </c>
    </row>
    <row r="945" spans="1:2" x14ac:dyDescent="0.25">
      <c r="A945">
        <v>944</v>
      </c>
      <c r="B945" s="92">
        <v>375.03</v>
      </c>
    </row>
    <row r="946" spans="1:2" x14ac:dyDescent="0.25">
      <c r="A946">
        <v>945</v>
      </c>
      <c r="B946" s="92">
        <v>375.37</v>
      </c>
    </row>
    <row r="947" spans="1:2" x14ac:dyDescent="0.25">
      <c r="A947">
        <v>946</v>
      </c>
      <c r="B947" s="92">
        <v>375.72</v>
      </c>
    </row>
    <row r="948" spans="1:2" x14ac:dyDescent="0.25">
      <c r="A948">
        <v>947</v>
      </c>
      <c r="B948" s="92">
        <v>376.06</v>
      </c>
    </row>
    <row r="949" spans="1:2" x14ac:dyDescent="0.25">
      <c r="A949">
        <v>948</v>
      </c>
      <c r="B949" s="92">
        <v>376.41</v>
      </c>
    </row>
    <row r="950" spans="1:2" x14ac:dyDescent="0.25">
      <c r="A950">
        <v>949</v>
      </c>
      <c r="B950" s="92">
        <v>376.75</v>
      </c>
    </row>
    <row r="951" spans="1:2" x14ac:dyDescent="0.25">
      <c r="A951">
        <v>950</v>
      </c>
      <c r="B951" s="92">
        <v>377.1</v>
      </c>
    </row>
    <row r="952" spans="1:2" x14ac:dyDescent="0.25">
      <c r="A952">
        <v>951</v>
      </c>
      <c r="B952" s="92">
        <v>377.45</v>
      </c>
    </row>
    <row r="953" spans="1:2" x14ac:dyDescent="0.25">
      <c r="A953">
        <v>952</v>
      </c>
      <c r="B953" s="92">
        <v>377.79</v>
      </c>
    </row>
    <row r="954" spans="1:2" x14ac:dyDescent="0.25">
      <c r="A954">
        <v>953</v>
      </c>
      <c r="B954" s="92">
        <v>378.14</v>
      </c>
    </row>
    <row r="955" spans="1:2" x14ac:dyDescent="0.25">
      <c r="A955">
        <v>954</v>
      </c>
      <c r="B955" s="92">
        <v>378.49</v>
      </c>
    </row>
    <row r="956" spans="1:2" x14ac:dyDescent="0.25">
      <c r="A956">
        <v>955</v>
      </c>
      <c r="B956" s="92">
        <v>378.84</v>
      </c>
    </row>
    <row r="957" spans="1:2" x14ac:dyDescent="0.25">
      <c r="A957">
        <v>956</v>
      </c>
      <c r="B957" s="92">
        <v>379.18</v>
      </c>
    </row>
    <row r="958" spans="1:2" x14ac:dyDescent="0.25">
      <c r="A958">
        <v>957</v>
      </c>
      <c r="B958" s="92">
        <v>379.53</v>
      </c>
    </row>
    <row r="959" spans="1:2" x14ac:dyDescent="0.25">
      <c r="A959">
        <v>958</v>
      </c>
      <c r="B959" s="92">
        <v>379.88</v>
      </c>
    </row>
    <row r="960" spans="1:2" x14ac:dyDescent="0.25">
      <c r="A960">
        <v>959</v>
      </c>
      <c r="B960" s="92">
        <v>380.22</v>
      </c>
    </row>
    <row r="961" spans="1:2" x14ac:dyDescent="0.25">
      <c r="A961">
        <v>960</v>
      </c>
      <c r="B961" s="92">
        <v>380.57</v>
      </c>
    </row>
    <row r="962" spans="1:2" x14ac:dyDescent="0.25">
      <c r="A962">
        <v>961</v>
      </c>
      <c r="B962" s="92">
        <v>380.92</v>
      </c>
    </row>
    <row r="963" spans="1:2" x14ac:dyDescent="0.25">
      <c r="A963">
        <v>962</v>
      </c>
      <c r="B963" s="92">
        <v>381.27</v>
      </c>
    </row>
    <row r="964" spans="1:2" x14ac:dyDescent="0.25">
      <c r="A964">
        <v>963</v>
      </c>
      <c r="B964" s="92">
        <v>381.61</v>
      </c>
    </row>
    <row r="965" spans="1:2" x14ac:dyDescent="0.25">
      <c r="A965">
        <v>964</v>
      </c>
      <c r="B965" s="92">
        <v>381.96</v>
      </c>
    </row>
    <row r="966" spans="1:2" x14ac:dyDescent="0.25">
      <c r="A966">
        <v>965</v>
      </c>
      <c r="B966" s="92">
        <v>382.31</v>
      </c>
    </row>
    <row r="967" spans="1:2" x14ac:dyDescent="0.25">
      <c r="A967">
        <v>966</v>
      </c>
      <c r="B967" s="92">
        <v>382.65</v>
      </c>
    </row>
    <row r="968" spans="1:2" x14ac:dyDescent="0.25">
      <c r="A968">
        <v>967</v>
      </c>
      <c r="B968" s="92">
        <v>383</v>
      </c>
    </row>
    <row r="969" spans="1:2" x14ac:dyDescent="0.25">
      <c r="A969">
        <v>968</v>
      </c>
      <c r="B969" s="92">
        <v>383.35</v>
      </c>
    </row>
    <row r="970" spans="1:2" x14ac:dyDescent="0.25">
      <c r="A970">
        <v>969</v>
      </c>
      <c r="B970" s="92">
        <v>383.7</v>
      </c>
    </row>
    <row r="971" spans="1:2" x14ac:dyDescent="0.25">
      <c r="A971">
        <v>970</v>
      </c>
      <c r="B971" s="92">
        <v>384.04</v>
      </c>
    </row>
    <row r="972" spans="1:2" x14ac:dyDescent="0.25">
      <c r="A972">
        <v>971</v>
      </c>
      <c r="B972" s="92">
        <v>384.39</v>
      </c>
    </row>
    <row r="973" spans="1:2" x14ac:dyDescent="0.25">
      <c r="A973">
        <v>972</v>
      </c>
      <c r="B973" s="92">
        <v>384.74</v>
      </c>
    </row>
    <row r="974" spans="1:2" x14ac:dyDescent="0.25">
      <c r="A974">
        <v>973</v>
      </c>
      <c r="B974" s="92">
        <v>385.09</v>
      </c>
    </row>
    <row r="975" spans="1:2" x14ac:dyDescent="0.25">
      <c r="A975">
        <v>974</v>
      </c>
      <c r="B975" s="92">
        <v>385.43</v>
      </c>
    </row>
    <row r="976" spans="1:2" x14ac:dyDescent="0.25">
      <c r="A976">
        <v>975</v>
      </c>
      <c r="B976" s="92">
        <v>385.78</v>
      </c>
    </row>
    <row r="977" spans="1:2" x14ac:dyDescent="0.25">
      <c r="A977">
        <v>976</v>
      </c>
      <c r="B977" s="92">
        <v>386.15</v>
      </c>
    </row>
    <row r="978" spans="1:2" x14ac:dyDescent="0.25">
      <c r="A978">
        <v>977</v>
      </c>
      <c r="B978" s="92">
        <v>386.52</v>
      </c>
    </row>
    <row r="979" spans="1:2" x14ac:dyDescent="0.25">
      <c r="A979">
        <v>978</v>
      </c>
      <c r="B979" s="92">
        <v>386.89</v>
      </c>
    </row>
    <row r="980" spans="1:2" x14ac:dyDescent="0.25">
      <c r="A980">
        <v>979</v>
      </c>
      <c r="B980" s="92">
        <v>387.25</v>
      </c>
    </row>
    <row r="981" spans="1:2" x14ac:dyDescent="0.25">
      <c r="A981">
        <v>980</v>
      </c>
      <c r="B981" s="92">
        <v>387.62</v>
      </c>
    </row>
    <row r="982" spans="1:2" x14ac:dyDescent="0.25">
      <c r="A982">
        <v>981</v>
      </c>
      <c r="B982" s="92">
        <v>387.99</v>
      </c>
    </row>
    <row r="983" spans="1:2" x14ac:dyDescent="0.25">
      <c r="A983">
        <v>982</v>
      </c>
      <c r="B983" s="92">
        <v>388.36</v>
      </c>
    </row>
    <row r="984" spans="1:2" x14ac:dyDescent="0.25">
      <c r="A984">
        <v>983</v>
      </c>
      <c r="B984" s="92">
        <v>388.73</v>
      </c>
    </row>
    <row r="985" spans="1:2" x14ac:dyDescent="0.25">
      <c r="A985">
        <v>984</v>
      </c>
      <c r="B985" s="92">
        <v>389.1</v>
      </c>
    </row>
    <row r="986" spans="1:2" x14ac:dyDescent="0.25">
      <c r="A986">
        <v>985</v>
      </c>
      <c r="B986" s="92">
        <v>389.47</v>
      </c>
    </row>
    <row r="987" spans="1:2" x14ac:dyDescent="0.25">
      <c r="A987">
        <v>986</v>
      </c>
      <c r="B987" s="92">
        <v>389.84</v>
      </c>
    </row>
    <row r="988" spans="1:2" x14ac:dyDescent="0.25">
      <c r="A988">
        <v>987</v>
      </c>
      <c r="B988" s="92">
        <v>390.2</v>
      </c>
    </row>
    <row r="989" spans="1:2" x14ac:dyDescent="0.25">
      <c r="A989">
        <v>988</v>
      </c>
      <c r="B989" s="92">
        <v>390.57</v>
      </c>
    </row>
    <row r="990" spans="1:2" x14ac:dyDescent="0.25">
      <c r="A990">
        <v>989</v>
      </c>
      <c r="B990" s="92">
        <v>390.94</v>
      </c>
    </row>
    <row r="991" spans="1:2" x14ac:dyDescent="0.25">
      <c r="A991">
        <v>990</v>
      </c>
      <c r="B991" s="92">
        <v>391.31</v>
      </c>
    </row>
    <row r="992" spans="1:2" x14ac:dyDescent="0.25">
      <c r="A992">
        <v>991</v>
      </c>
      <c r="B992" s="92">
        <v>391.68</v>
      </c>
    </row>
    <row r="993" spans="1:2" x14ac:dyDescent="0.25">
      <c r="A993">
        <v>992</v>
      </c>
      <c r="B993" s="92">
        <v>392.05</v>
      </c>
    </row>
    <row r="994" spans="1:2" x14ac:dyDescent="0.25">
      <c r="A994">
        <v>993</v>
      </c>
      <c r="B994" s="92">
        <v>392.42</v>
      </c>
    </row>
    <row r="995" spans="1:2" x14ac:dyDescent="0.25">
      <c r="A995">
        <v>994</v>
      </c>
      <c r="B995" s="92">
        <v>392.78</v>
      </c>
    </row>
    <row r="996" spans="1:2" x14ac:dyDescent="0.25">
      <c r="A996">
        <v>995</v>
      </c>
      <c r="B996" s="92">
        <v>393.15</v>
      </c>
    </row>
    <row r="997" spans="1:2" x14ac:dyDescent="0.25">
      <c r="A997">
        <v>996</v>
      </c>
      <c r="B997" s="92">
        <v>393.52</v>
      </c>
    </row>
    <row r="998" spans="1:2" x14ac:dyDescent="0.25">
      <c r="A998">
        <v>997</v>
      </c>
      <c r="B998" s="92">
        <v>393.89</v>
      </c>
    </row>
    <row r="999" spans="1:2" x14ac:dyDescent="0.25">
      <c r="A999">
        <v>998</v>
      </c>
      <c r="B999" s="92">
        <v>394.26</v>
      </c>
    </row>
    <row r="1000" spans="1:2" x14ac:dyDescent="0.25">
      <c r="A1000">
        <v>999</v>
      </c>
      <c r="B1000" s="92">
        <v>394.63</v>
      </c>
    </row>
    <row r="1001" spans="1:2" x14ac:dyDescent="0.25">
      <c r="A1001">
        <v>1000</v>
      </c>
      <c r="B1001" s="92">
        <v>395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9"/>
  <sheetViews>
    <sheetView workbookViewId="0">
      <selection activeCell="D27" sqref="D27"/>
    </sheetView>
  </sheetViews>
  <sheetFormatPr baseColWidth="10" defaultRowHeight="15" x14ac:dyDescent="0.25"/>
  <cols>
    <col min="1" max="1" width="6.140625" bestFit="1" customWidth="1"/>
    <col min="2" max="2" width="16.7109375" bestFit="1" customWidth="1"/>
    <col min="3" max="3" width="14.42578125" bestFit="1" customWidth="1"/>
    <col min="4" max="4" width="11.28515625" bestFit="1" customWidth="1"/>
    <col min="5" max="5" width="15.42578125" bestFit="1" customWidth="1"/>
  </cols>
  <sheetData>
    <row r="3" spans="1:6" x14ac:dyDescent="0.25">
      <c r="A3" t="s">
        <v>96</v>
      </c>
    </row>
    <row r="4" spans="1:6" x14ac:dyDescent="0.25">
      <c r="B4" t="s">
        <v>97</v>
      </c>
    </row>
    <row r="5" spans="1:6" x14ac:dyDescent="0.25">
      <c r="B5" t="s">
        <v>98</v>
      </c>
    </row>
    <row r="6" spans="1:6" x14ac:dyDescent="0.25">
      <c r="B6" t="s">
        <v>99</v>
      </c>
    </row>
    <row r="9" spans="1:6" x14ac:dyDescent="0.25">
      <c r="A9" t="s">
        <v>93</v>
      </c>
      <c r="B9" t="s">
        <v>90</v>
      </c>
      <c r="C9" t="s">
        <v>91</v>
      </c>
      <c r="D9" t="s">
        <v>92</v>
      </c>
      <c r="E9" t="s">
        <v>94</v>
      </c>
      <c r="F9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Tablero Compra</vt:lpstr>
      <vt:lpstr>Molienda</vt:lpstr>
      <vt:lpstr>Fazon</vt:lpstr>
      <vt:lpstr>Instructivo</vt:lpstr>
      <vt:lpstr>Flete y Mermas</vt:lpstr>
      <vt:lpstr>Coberturas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Galdeano</dc:creator>
  <cp:lastModifiedBy>Alberto Galdeano</cp:lastModifiedBy>
  <cp:lastPrinted>2013-12-17T18:17:01Z</cp:lastPrinted>
  <dcterms:created xsi:type="dcterms:W3CDTF">2011-11-18T12:14:51Z</dcterms:created>
  <dcterms:modified xsi:type="dcterms:W3CDTF">2022-03-02T17:54:35Z</dcterms:modified>
</cp:coreProperties>
</file>